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c5a6992679c711c8/Desktop/"/>
    </mc:Choice>
  </mc:AlternateContent>
  <xr:revisionPtr revIDLastSave="34" documentId="13_ncr:1_{792371A8-2775-4731-A5BC-B777E9E24D14}" xr6:coauthVersionLast="47" xr6:coauthVersionMax="47" xr10:uidLastSave="{E25A8D94-1BA1-4C06-B4B7-1FD91401E367}"/>
  <bookViews>
    <workbookView xWindow="-108" yWindow="-108" windowWidth="23256" windowHeight="12456" activeTab="2" xr2:uid="{00000000-000D-0000-FFFF-FFFF00000000}"/>
  </bookViews>
  <sheets>
    <sheet name="Invoice_Template" sheetId="2" r:id="rId1"/>
    <sheet name="Customer_data" sheetId="3" r:id="rId2"/>
    <sheet name="Invoice_records" sheetId="4" r:id="rId3"/>
    <sheet name="Sheet1" sheetId="5" r:id="rId4"/>
  </sheets>
  <definedNames>
    <definedName name="Customer_DD">Customer_table[Customer_Name]</definedName>
    <definedName name="_xlnm.Print_Area" localSheetId="0">Invoice_Template!$A$1:$I$44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0" i="2" l="1"/>
  <c r="G21" i="2"/>
  <c r="G22" i="2"/>
  <c r="G23" i="2"/>
  <c r="G24" i="2"/>
  <c r="G25" i="2"/>
  <c r="G26" i="2"/>
  <c r="G27" i="2"/>
  <c r="G28" i="2"/>
  <c r="G29" i="2"/>
  <c r="G30" i="2"/>
  <c r="G31" i="2"/>
  <c r="G19" i="2"/>
  <c r="H19" i="2" s="1"/>
  <c r="B16" i="2"/>
  <c r="B15" i="2"/>
  <c r="B14" i="2"/>
  <c r="B13" i="2"/>
  <c r="B12" i="2"/>
  <c r="B11" i="2"/>
  <c r="I20" i="2" l="1"/>
  <c r="I21" i="2"/>
  <c r="I22" i="2"/>
  <c r="I23" i="2"/>
  <c r="I24" i="2"/>
  <c r="I25" i="2"/>
  <c r="I26" i="2"/>
  <c r="I27" i="2"/>
  <c r="I28" i="2"/>
  <c r="I29" i="2"/>
  <c r="I30" i="2"/>
  <c r="I31" i="2"/>
  <c r="I19" i="2"/>
  <c r="H20" i="2"/>
  <c r="H21" i="2"/>
  <c r="H22" i="2"/>
  <c r="H23" i="2"/>
  <c r="H24" i="2"/>
  <c r="H25" i="2"/>
  <c r="H26" i="2"/>
  <c r="H27" i="2"/>
  <c r="H28" i="2"/>
  <c r="H29" i="2"/>
  <c r="H30" i="2"/>
  <c r="H31" i="2"/>
  <c r="I36" i="2" l="1"/>
  <c r="I35" i="2"/>
  <c r="I37" i="2" l="1"/>
</calcChain>
</file>

<file path=xl/sharedStrings.xml><?xml version="1.0" encoding="utf-8"?>
<sst xmlns="http://schemas.openxmlformats.org/spreadsheetml/2006/main" count="66" uniqueCount="61">
  <si>
    <t xml:space="preserve">Invoice </t>
  </si>
  <si>
    <t>Invoice No.</t>
  </si>
  <si>
    <t>Po No.</t>
  </si>
  <si>
    <t xml:space="preserve">Date </t>
  </si>
  <si>
    <t>Terms (Days)</t>
  </si>
  <si>
    <t>Invoice to:</t>
  </si>
  <si>
    <t>Oty</t>
  </si>
  <si>
    <t xml:space="preserve">Price </t>
  </si>
  <si>
    <t>VAT</t>
  </si>
  <si>
    <t>Total (exc VAT)</t>
  </si>
  <si>
    <t>Customer Message</t>
  </si>
  <si>
    <t>Subtotal</t>
  </si>
  <si>
    <t>Total</t>
  </si>
  <si>
    <t>Company Details</t>
  </si>
  <si>
    <t>Payment Details</t>
  </si>
  <si>
    <t>Company No.</t>
  </si>
  <si>
    <t>VAT No.</t>
  </si>
  <si>
    <t>Telephone No.</t>
  </si>
  <si>
    <t>Email</t>
  </si>
  <si>
    <t>Account No.</t>
  </si>
  <si>
    <t>Bank</t>
  </si>
  <si>
    <t>Sort Code</t>
  </si>
  <si>
    <t>IBAN</t>
  </si>
  <si>
    <t>Customer_Name</t>
  </si>
  <si>
    <t>Address 1</t>
  </si>
  <si>
    <t>Address 2</t>
  </si>
  <si>
    <t>Address 3</t>
  </si>
  <si>
    <t>Address 4</t>
  </si>
  <si>
    <t>Address 5</t>
  </si>
  <si>
    <t xml:space="preserve">Abc ltd </t>
  </si>
  <si>
    <t>Unit 12</t>
  </si>
  <si>
    <t>Crown industrial Estate</t>
  </si>
  <si>
    <t xml:space="preserve">Swidon </t>
  </si>
  <si>
    <t>Wiltshire</t>
  </si>
  <si>
    <t>BA1GQ</t>
  </si>
  <si>
    <t>Xyz ltd</t>
  </si>
  <si>
    <t xml:space="preserve">xyz house </t>
  </si>
  <si>
    <t>Kings Road</t>
  </si>
  <si>
    <t xml:space="preserve">Wales </t>
  </si>
  <si>
    <t>Kent</t>
  </si>
  <si>
    <t>TN1QR</t>
  </si>
  <si>
    <t>Pkj ltd</t>
  </si>
  <si>
    <t>Mpt ltd</t>
  </si>
  <si>
    <t>Company</t>
  </si>
  <si>
    <t>Amt</t>
  </si>
  <si>
    <t>Date Issue</t>
  </si>
  <si>
    <t>Date Due</t>
  </si>
  <si>
    <t>Paid</t>
  </si>
  <si>
    <t>Invoice saved as PDF</t>
  </si>
  <si>
    <t>pankajbisht.pb14@gmail.com</t>
  </si>
  <si>
    <t>SEO Plans</t>
  </si>
  <si>
    <t>Silver</t>
  </si>
  <si>
    <t>Subscription_type</t>
  </si>
  <si>
    <t>Duration</t>
  </si>
  <si>
    <t xml:space="preserve">Gold </t>
  </si>
  <si>
    <t>Platinum</t>
  </si>
  <si>
    <t>Diamond</t>
  </si>
  <si>
    <t>Ophanim Technologies</t>
  </si>
  <si>
    <t>Subscription - Type</t>
  </si>
  <si>
    <t>C:\Users\ACER\OneDrive\Desktop\Invoice PDF\9001 - .pdf</t>
  </si>
  <si>
    <t>Yes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</si>
</sst>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£&quot;#,##0.00;\-&quot;£&quot;#,##0.00"/>
    <numFmt numFmtId="164" formatCode="&quot;£&quot;#,##0.00_);\(&quot;£&quot;#,##0.00\)"/>
    <numFmt numFmtId="165" formatCode="[$$-409]#,##0.0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 tint="0.34998626667073579"/>
      <name val="Calibri"/>
      <family val="2"/>
      <scheme val="minor"/>
    </font>
    <font>
      <b/>
      <sz val="24"/>
      <color theme="1" tint="0.34998626667073579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4" tint="-0.499984740745262"/>
      <name val="Calibri"/>
      <family val="2"/>
      <scheme val="minor"/>
    </font>
    <font>
      <b/>
      <sz val="11"/>
      <color rgb="FF000000"/>
      <name val="Calibri"/>
      <family val="2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002060"/>
        <bgColor indexed="64"/>
      </patternFill>
    </fill>
    <fill>
      <patternFill patternType="darkGray">
        <fgColor theme="1" tint="0.34998626667073579"/>
        <bgColor theme="1" tint="0.34998626667073579"/>
      </patternFill>
    </fill>
  </fills>
  <borders count="29">
    <border>
      <left/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medium">
        <color auto="1"/>
      </bottom>
      <diagonal/>
    </border>
    <border>
      <left/>
      <right/>
      <top style="thick">
        <color auto="1"/>
      </top>
      <bottom/>
      <diagonal/>
    </border>
    <border>
      <left/>
      <right/>
      <top/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theme="1"/>
      </left>
      <right/>
      <top style="thick">
        <color auto="1"/>
      </top>
      <bottom/>
      <diagonal/>
    </border>
    <border>
      <left/>
      <right style="hair">
        <color theme="1"/>
      </right>
      <top style="thick">
        <color auto="1"/>
      </top>
      <bottom/>
      <diagonal/>
    </border>
    <border>
      <left style="hair">
        <color theme="1"/>
      </left>
      <right/>
      <top/>
      <bottom/>
      <diagonal/>
    </border>
    <border>
      <left/>
      <right style="hair">
        <color theme="1"/>
      </right>
      <top/>
      <bottom/>
      <diagonal/>
    </border>
    <border>
      <left style="hair">
        <color theme="1"/>
      </left>
      <right/>
      <top/>
      <bottom style="hair">
        <color theme="1"/>
      </bottom>
      <diagonal/>
    </border>
    <border>
      <left/>
      <right/>
      <top/>
      <bottom style="hair">
        <color theme="1"/>
      </bottom>
      <diagonal/>
    </border>
    <border>
      <left/>
      <right style="hair">
        <color theme="1"/>
      </right>
      <top/>
      <bottom style="hair">
        <color theme="1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61">
    <xf numFmtId="0" fontId="0" fillId="0" borderId="0" xfId="0"/>
    <xf numFmtId="0" fontId="1" fillId="0" borderId="0" xfId="0" applyFont="1"/>
    <xf numFmtId="0" fontId="0" fillId="0" borderId="1" xfId="0" applyBorder="1"/>
    <xf numFmtId="0" fontId="1" fillId="0" borderId="1" xfId="0" applyFont="1" applyBorder="1"/>
    <xf numFmtId="0" fontId="0" fillId="0" borderId="2" xfId="0" applyBorder="1"/>
    <xf numFmtId="0" fontId="4" fillId="3" borderId="0" xfId="0" applyFont="1" applyFill="1"/>
    <xf numFmtId="0" fontId="0" fillId="0" borderId="4" xfId="0" applyBorder="1"/>
    <xf numFmtId="0" fontId="0" fillId="4" borderId="0" xfId="0" applyFill="1"/>
    <xf numFmtId="0" fontId="4" fillId="3" borderId="13" xfId="0" applyFont="1" applyFill="1" applyBorder="1"/>
    <xf numFmtId="0" fontId="4" fillId="3" borderId="16" xfId="0" applyFont="1" applyFill="1" applyBorder="1"/>
    <xf numFmtId="0" fontId="4" fillId="3" borderId="19" xfId="0" applyFont="1" applyFill="1" applyBorder="1"/>
    <xf numFmtId="0" fontId="4" fillId="3" borderId="14" xfId="0" applyFont="1" applyFill="1" applyBorder="1"/>
    <xf numFmtId="0" fontId="4" fillId="3" borderId="15" xfId="0" applyFont="1" applyFill="1" applyBorder="1"/>
    <xf numFmtId="0" fontId="0" fillId="0" borderId="17" xfId="0" applyBorder="1"/>
    <xf numFmtId="0" fontId="0" fillId="0" borderId="20" xfId="0" applyBorder="1"/>
    <xf numFmtId="0" fontId="0" fillId="0" borderId="22" xfId="0" applyBorder="1"/>
    <xf numFmtId="0" fontId="0" fillId="0" borderId="3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6" fillId="0" borderId="0" xfId="1"/>
    <xf numFmtId="0" fontId="7" fillId="0" borderId="26" xfId="0" applyFont="1" applyBorder="1"/>
    <xf numFmtId="165" fontId="0" fillId="0" borderId="17" xfId="0" applyNumberFormat="1" applyBorder="1"/>
    <xf numFmtId="165" fontId="0" fillId="0" borderId="18" xfId="0" applyNumberFormat="1" applyBorder="1"/>
    <xf numFmtId="165" fontId="0" fillId="0" borderId="20" xfId="0" applyNumberFormat="1" applyBorder="1"/>
    <xf numFmtId="165" fontId="0" fillId="0" borderId="21" xfId="0" applyNumberFormat="1" applyBorder="1"/>
    <xf numFmtId="165" fontId="0" fillId="0" borderId="0" xfId="0" applyNumberFormat="1"/>
    <xf numFmtId="165" fontId="0" fillId="0" borderId="1" xfId="0" applyNumberFormat="1" applyBorder="1"/>
    <xf numFmtId="164" fontId="0" fillId="0" borderId="0" xfId="0" applyNumberFormat="1"/>
    <xf numFmtId="14" fontId="0" fillId="0" borderId="0" xfId="0" applyNumberFormat="1"/>
    <xf numFmtId="7" fontId="0" fillId="0" borderId="0" xfId="0" applyNumberFormat="1"/>
    <xf numFmtId="22" fontId="0" fillId="0" borderId="0" xfId="0" applyNumberFormat="1"/>
    <xf numFmtId="0" fontId="10" fillId="0" borderId="0" xfId="0" applyFont="1" applyAlignment="1">
      <alignment horizontal="center"/>
    </xf>
    <xf numFmtId="0" fontId="2" fillId="0" borderId="2" xfId="0" applyFont="1" applyBorder="1"/>
    <xf numFmtId="0" fontId="4" fillId="3" borderId="13" xfId="0" applyFont="1" applyFill="1" applyBorder="1"/>
    <xf numFmtId="0" fontId="4" fillId="3" borderId="14" xfId="0" applyFont="1" applyFill="1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14" fontId="0" fillId="0" borderId="17" xfId="0" applyNumberFormat="1" applyBorder="1"/>
    <xf numFmtId="0" fontId="0" fillId="0" borderId="20" xfId="0" applyBorder="1"/>
    <xf numFmtId="0" fontId="0" fillId="0" borderId="21" xfId="0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0" xfId="0" applyFill="1"/>
    <xf numFmtId="0" fontId="0" fillId="2" borderId="9" xfId="0" applyFill="1" applyBorder="1"/>
    <xf numFmtId="0" fontId="0" fillId="2" borderId="10" xfId="0" applyFill="1" applyBorder="1"/>
    <xf numFmtId="0" fontId="0" fillId="2" borderId="11" xfId="0" applyFill="1" applyBorder="1"/>
    <xf numFmtId="0" fontId="0" fillId="2" borderId="12" xfId="0" applyFill="1" applyBorder="1"/>
    <xf numFmtId="0" fontId="0" fillId="0" borderId="19" xfId="0" applyBorder="1"/>
    <xf numFmtId="0" fontId="2" fillId="0" borderId="2" xfId="0" applyFont="1" applyBorder="1" applyAlignment="1">
      <alignment horizontal="center"/>
    </xf>
    <xf numFmtId="0" fontId="4" fillId="3" borderId="15" xfId="0" applyFont="1" applyFill="1" applyBorder="1"/>
    <xf numFmtId="0" fontId="3" fillId="0" borderId="2" xfId="0" applyFont="1" applyBorder="1" applyAlignment="1">
      <alignment horizontal="center"/>
    </xf>
    <xf numFmtId="0" fontId="0" fillId="0" borderId="14" xfId="0" applyBorder="1"/>
    <xf numFmtId="0" fontId="0" fillId="0" borderId="15" xfId="0" applyBorder="1"/>
    <xf numFmtId="0" fontId="9" fillId="0" borderId="0" xfId="0" applyFont="1" applyAlignment="1">
      <alignment horizontal="center"/>
    </xf>
  </cellXfs>
  <cellStyles count="2">
    <cellStyle name="Hyperlink" xfId="1" builtinId="8"/>
    <cellStyle name="Normal" xfId="0" builtinId="0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594360</xdr:colOff>
      <xdr:row>0</xdr:row>
      <xdr:rowOff>121920</xdr:rowOff>
    </xdr:from>
    <xdr:to>
      <xdr:col>12</xdr:col>
      <xdr:colOff>403860</xdr:colOff>
      <xdr:row>2</xdr:row>
      <xdr:rowOff>76200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6690360" y="121920"/>
          <a:ext cx="1638300" cy="541020"/>
          <a:chOff x="6675120" y="1143000"/>
          <a:chExt cx="1638300" cy="54102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0" name="Button 16" hidden="1">
                <a:extLst>
                  <a:ext uri="{63B3BB69-23CF-44E3-9099-C40C66FF867C}">
                    <a14:compatExt spid="_x0000_s1040"/>
                  </a:ext>
                  <a:ext uri="{FF2B5EF4-FFF2-40B4-BE49-F238E27FC236}">
                    <a16:creationId xmlns:a16="http://schemas.microsoft.com/office/drawing/2014/main" id="{00000000-0008-0000-0000-000010040000}"/>
                  </a:ext>
                </a:extLst>
              </xdr:cNvPr>
              <xdr:cNvSpPr/>
            </xdr:nvSpPr>
            <xdr:spPr bwMode="auto">
              <a:xfrm>
                <a:off x="6675120" y="1143000"/>
                <a:ext cx="1638300" cy="54102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80000" tIns="0" rIns="0" bIns="0" anchor="ctr" upright="1"/>
              <a:lstStyle/>
              <a:p>
                <a:pPr algn="l" rtl="0">
                  <a:defRPr sz="1000"/>
                </a:pPr>
                <a:r>
                  <a:rPr lang="en-IN" sz="11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Create New Invoice</a:t>
                </a:r>
              </a:p>
            </xdr:txBody>
          </xdr:sp>
        </mc:Choice>
        <mc:Fallback/>
      </mc:AlternateContent>
      <xdr:pic>
        <xdr:nvPicPr>
          <xdr:cNvPr id="8" name="Graphic 7" descr="Artist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016240" y="1242060"/>
            <a:ext cx="236220" cy="328083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579120</xdr:colOff>
      <xdr:row>3</xdr:row>
      <xdr:rowOff>83820</xdr:rowOff>
    </xdr:from>
    <xdr:to>
      <xdr:col>12</xdr:col>
      <xdr:colOff>411480</xdr:colOff>
      <xdr:row>6</xdr:row>
      <xdr:rowOff>68580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6675120" y="853440"/>
          <a:ext cx="1661160" cy="533400"/>
          <a:chOff x="6720841" y="2811772"/>
          <a:chExt cx="1623061" cy="50292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9" name="Button 25" hidden="1">
                <a:extLst>
                  <a:ext uri="{63B3BB69-23CF-44E3-9099-C40C66FF867C}">
                    <a14:compatExt spid="_x0000_s1049"/>
                  </a:ext>
                  <a:ext uri="{FF2B5EF4-FFF2-40B4-BE49-F238E27FC236}">
                    <a16:creationId xmlns:a16="http://schemas.microsoft.com/office/drawing/2014/main" id="{00000000-0008-0000-0000-000019040000}"/>
                  </a:ext>
                </a:extLst>
              </xdr:cNvPr>
              <xdr:cNvSpPr/>
            </xdr:nvSpPr>
            <xdr:spPr bwMode="auto">
              <a:xfrm>
                <a:off x="6720841" y="2811772"/>
                <a:ext cx="1623061" cy="50292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80000" tIns="46800" rIns="90000" bIns="46800" anchor="ctr" upright="1"/>
              <a:lstStyle/>
              <a:p>
                <a:pPr algn="l" rtl="0">
                  <a:defRPr sz="1000"/>
                </a:pPr>
                <a:r>
                  <a:rPr lang="en-IN" sz="11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Save as PDF</a:t>
                </a:r>
              </a:p>
            </xdr:txBody>
          </xdr:sp>
        </mc:Choice>
        <mc:Fallback/>
      </mc:AlternateContent>
      <xdr:pic>
        <xdr:nvPicPr>
          <xdr:cNvPr id="4" name="Graphic 3" descr="Documen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7901940" y="2895600"/>
            <a:ext cx="350520" cy="350520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4594E46-34EB-40EF-8B1A-770EEC07DB55}" name="Customer_table" displayName="Customer_table" ref="A1:G5" totalsRowShown="0">
  <autoFilter ref="A1:G5" xr:uid="{B1B1D3F9-012E-44A2-AEFB-C18AA77A13DF}"/>
  <tableColumns count="7">
    <tableColumn id="1" xr3:uid="{0A0729CD-14B3-4A6C-9A64-61A15E2CD3B7}" name="Customer_Name"/>
    <tableColumn id="2" xr3:uid="{D986FABC-4336-4EDE-93E9-B50A5C10F260}" name="Address 1"/>
    <tableColumn id="3" xr3:uid="{92485266-D3BE-4B4E-9480-1EF69EB177B1}" name="Address 2"/>
    <tableColumn id="4" xr3:uid="{1FA2E258-8803-414F-98BE-61294BD1688C}" name="Address 3"/>
    <tableColumn id="5" xr3:uid="{9448C41E-4607-4CCD-BA6B-72DAFCBC55D3}" name="Address 4"/>
    <tableColumn id="6" xr3:uid="{595E1027-D91A-4585-8091-D355C3BC933A}" name="Address 5"/>
    <tableColumn id="7" xr3:uid="{655ED667-0A0A-41D9-8FC5-3536FB984B6D}" name="Email" dataCellStyle="Hyperlink"/>
  </tableColumns>
  <tableStyleInfo name="TableStyleMedium2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hyperlink" Target="mailto:pankajbisht.pb14@gmail.com" TargetMode="External"/><Relationship Id="rId1" Type="http://schemas.openxmlformats.org/officeDocument/2006/relationships/hyperlink" Target="mailto:pankajbisht.pb14@gmail.co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file:///C:\Users\ACER\OneDrive\Desktop\Invoice%20PDF\9001%20-%20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BDA0D-D34A-4CCE-BD19-EA06F7CE7925}">
  <sheetPr codeName="Sheet2"/>
  <dimension ref="B1:I43"/>
  <sheetViews>
    <sheetView showGridLines="0" zoomScaleNormal="100" workbookViewId="0">
      <selection activeCell="C3" sqref="C3:D3"/>
    </sheetView>
  </sheetViews>
  <sheetFormatPr defaultRowHeight="14.4" x14ac:dyDescent="0.3"/>
  <cols>
    <col min="1" max="1" width="3.77734375" customWidth="1"/>
    <col min="2" max="2" width="14.5546875" customWidth="1"/>
    <col min="6" max="6" width="4.77734375" customWidth="1"/>
    <col min="7" max="7" width="10.5546875" customWidth="1"/>
    <col min="8" max="8" width="9.5546875" customWidth="1"/>
    <col min="9" max="9" width="19" customWidth="1"/>
    <col min="10" max="10" width="8.88671875" customWidth="1"/>
  </cols>
  <sheetData>
    <row r="1" spans="2:9" ht="31.8" thickBot="1" x14ac:dyDescent="0.65">
      <c r="B1" s="55" t="s">
        <v>57</v>
      </c>
      <c r="C1" s="55"/>
      <c r="D1" s="55"/>
      <c r="E1" s="55"/>
      <c r="F1" s="36"/>
      <c r="G1" s="4"/>
      <c r="H1" s="57" t="s">
        <v>0</v>
      </c>
      <c r="I1" s="57"/>
    </row>
    <row r="3" spans="2:9" x14ac:dyDescent="0.3">
      <c r="B3" s="8" t="s">
        <v>1</v>
      </c>
      <c r="C3" s="58">
        <v>9001</v>
      </c>
      <c r="D3" s="59"/>
      <c r="F3" s="1"/>
      <c r="G3" s="45"/>
      <c r="H3" s="46"/>
      <c r="I3" s="47"/>
    </row>
    <row r="4" spans="2:9" x14ac:dyDescent="0.3">
      <c r="B4" s="9" t="s">
        <v>2</v>
      </c>
      <c r="C4" s="40"/>
      <c r="D4" s="41"/>
      <c r="G4" s="48"/>
      <c r="H4" s="49"/>
      <c r="I4" s="50"/>
    </row>
    <row r="5" spans="2:9" x14ac:dyDescent="0.3">
      <c r="B5" s="9" t="s">
        <v>3</v>
      </c>
      <c r="C5" s="42">
        <v>45458</v>
      </c>
      <c r="D5" s="41"/>
      <c r="G5" s="48"/>
      <c r="H5" s="49"/>
      <c r="I5" s="50"/>
    </row>
    <row r="6" spans="2:9" x14ac:dyDescent="0.3">
      <c r="B6" s="10" t="s">
        <v>4</v>
      </c>
      <c r="C6" s="43">
        <v>30</v>
      </c>
      <c r="D6" s="44"/>
      <c r="G6" s="51"/>
      <c r="H6" s="52"/>
      <c r="I6" s="53"/>
    </row>
    <row r="8" spans="2:9" ht="15" thickBot="1" x14ac:dyDescent="0.35">
      <c r="B8" t="s">
        <v>5</v>
      </c>
    </row>
    <row r="9" spans="2:9" ht="15" thickTop="1" x14ac:dyDescent="0.3">
      <c r="B9" s="15"/>
      <c r="C9" s="16"/>
      <c r="D9" s="17"/>
    </row>
    <row r="10" spans="2:9" x14ac:dyDescent="0.3">
      <c r="B10" s="18"/>
      <c r="D10" s="19"/>
    </row>
    <row r="11" spans="2:9" x14ac:dyDescent="0.3">
      <c r="B11" s="18" t="str">
        <f>IFERROR(VLOOKUP($B$10,Customer_table[],2,FALSE),"")</f>
        <v/>
      </c>
      <c r="D11" s="19"/>
    </row>
    <row r="12" spans="2:9" x14ac:dyDescent="0.3">
      <c r="B12" s="18" t="str">
        <f>IFERROR(VLOOKUP($B$10,Customer_table[],3,FALSE),"")</f>
        <v/>
      </c>
      <c r="D12" s="19"/>
    </row>
    <row r="13" spans="2:9" x14ac:dyDescent="0.3">
      <c r="B13" s="18" t="str">
        <f>IFERROR(VLOOKUP($B$10,Customer_table[],4,FALSE),"")</f>
        <v/>
      </c>
      <c r="D13" s="19"/>
    </row>
    <row r="14" spans="2:9" x14ac:dyDescent="0.3">
      <c r="B14" s="18" t="str">
        <f>IFERROR(VLOOKUP($B$10,Customer_table[],5,FALSE),"")</f>
        <v/>
      </c>
      <c r="D14" s="19"/>
    </row>
    <row r="15" spans="2:9" x14ac:dyDescent="0.3">
      <c r="B15" s="18" t="str">
        <f>IFERROR(VLOOKUP($B$10,Customer_table[],6,FALSE),"")</f>
        <v/>
      </c>
      <c r="D15" s="19"/>
    </row>
    <row r="16" spans="2:9" x14ac:dyDescent="0.3">
      <c r="B16" s="24" t="str">
        <f>IFERROR(VLOOKUP($B$10,Customer_table[],7,FALSE),"")</f>
        <v/>
      </c>
      <c r="C16" s="21"/>
      <c r="D16" s="22"/>
    </row>
    <row r="18" spans="2:9" x14ac:dyDescent="0.3">
      <c r="B18" s="37" t="s">
        <v>58</v>
      </c>
      <c r="C18" s="38"/>
      <c r="D18" s="38"/>
      <c r="E18" s="38"/>
      <c r="F18" s="11" t="s">
        <v>6</v>
      </c>
      <c r="G18" s="11" t="s">
        <v>7</v>
      </c>
      <c r="H18" s="11" t="s">
        <v>8</v>
      </c>
      <c r="I18" s="12" t="s">
        <v>9</v>
      </c>
    </row>
    <row r="19" spans="2:9" x14ac:dyDescent="0.3">
      <c r="B19" s="39"/>
      <c r="C19" s="40"/>
      <c r="D19" s="40"/>
      <c r="E19" s="40"/>
      <c r="F19" s="13"/>
      <c r="G19" s="25" t="str">
        <f>_xlfn.IFNA(VLOOKUP(B19,Sheet1!$B$4:$D$7,3,FALSE),"")</f>
        <v/>
      </c>
      <c r="H19" s="25" t="str">
        <f>IF(G19&lt;&gt;"",20%*G19,"")</f>
        <v/>
      </c>
      <c r="I19" s="26" t="str">
        <f>IF(G19&lt;&gt;"",F19*G19,"")</f>
        <v/>
      </c>
    </row>
    <row r="20" spans="2:9" x14ac:dyDescent="0.3">
      <c r="B20" s="39"/>
      <c r="C20" s="40"/>
      <c r="D20" s="40"/>
      <c r="E20" s="40"/>
      <c r="F20" s="13"/>
      <c r="G20" s="25" t="str">
        <f>_xlfn.IFNA(VLOOKUP(B20,Sheet1!$B$4:$D$7,3,FALSE),"")</f>
        <v/>
      </c>
      <c r="H20" s="25" t="str">
        <f t="shared" ref="H20:H31" si="0">IF(G20&lt;&gt;"",20%*G20,"")</f>
        <v/>
      </c>
      <c r="I20" s="26" t="str">
        <f t="shared" ref="I20:I31" si="1">IF(G20&lt;&gt;"",F20*G20,"")</f>
        <v/>
      </c>
    </row>
    <row r="21" spans="2:9" x14ac:dyDescent="0.3">
      <c r="B21" s="39"/>
      <c r="C21" s="40"/>
      <c r="D21" s="40"/>
      <c r="E21" s="40"/>
      <c r="F21" s="13"/>
      <c r="G21" s="25" t="str">
        <f>_xlfn.IFNA(VLOOKUP(B21,Sheet1!$B$4:$D$7,3,FALSE),"")</f>
        <v/>
      </c>
      <c r="H21" s="25" t="str">
        <f t="shared" si="0"/>
        <v/>
      </c>
      <c r="I21" s="26" t="str">
        <f t="shared" si="1"/>
        <v/>
      </c>
    </row>
    <row r="22" spans="2:9" x14ac:dyDescent="0.3">
      <c r="B22" s="39"/>
      <c r="C22" s="40"/>
      <c r="D22" s="40"/>
      <c r="E22" s="40"/>
      <c r="F22" s="13"/>
      <c r="G22" s="25" t="str">
        <f>_xlfn.IFNA(VLOOKUP(B22,Sheet1!$B$4:$D$7,3,FALSE),"")</f>
        <v/>
      </c>
      <c r="H22" s="25" t="str">
        <f t="shared" si="0"/>
        <v/>
      </c>
      <c r="I22" s="26" t="str">
        <f t="shared" si="1"/>
        <v/>
      </c>
    </row>
    <row r="23" spans="2:9" x14ac:dyDescent="0.3">
      <c r="B23" s="39"/>
      <c r="C23" s="40"/>
      <c r="D23" s="40"/>
      <c r="E23" s="40"/>
      <c r="F23" s="13"/>
      <c r="G23" s="25" t="str">
        <f>_xlfn.IFNA(VLOOKUP(B23,Sheet1!$B$4:$D$7,3,FALSE),"")</f>
        <v/>
      </c>
      <c r="H23" s="25" t="str">
        <f t="shared" si="0"/>
        <v/>
      </c>
      <c r="I23" s="26" t="str">
        <f t="shared" si="1"/>
        <v/>
      </c>
    </row>
    <row r="24" spans="2:9" x14ac:dyDescent="0.3">
      <c r="B24" s="39"/>
      <c r="C24" s="40"/>
      <c r="D24" s="40"/>
      <c r="E24" s="40"/>
      <c r="F24" s="13"/>
      <c r="G24" s="25" t="str">
        <f>_xlfn.IFNA(VLOOKUP(B24,Sheet1!$B$4:$D$7,3,FALSE),"")</f>
        <v/>
      </c>
      <c r="H24" s="25" t="str">
        <f t="shared" si="0"/>
        <v/>
      </c>
      <c r="I24" s="26" t="str">
        <f t="shared" si="1"/>
        <v/>
      </c>
    </row>
    <row r="25" spans="2:9" x14ac:dyDescent="0.3">
      <c r="B25" s="39"/>
      <c r="C25" s="40"/>
      <c r="D25" s="40"/>
      <c r="E25" s="40"/>
      <c r="F25" s="13"/>
      <c r="G25" s="25" t="str">
        <f>_xlfn.IFNA(VLOOKUP(B25,Sheet1!$B$4:$D$7,3,FALSE),"")</f>
        <v/>
      </c>
      <c r="H25" s="25" t="str">
        <f t="shared" si="0"/>
        <v/>
      </c>
      <c r="I25" s="26" t="str">
        <f t="shared" si="1"/>
        <v/>
      </c>
    </row>
    <row r="26" spans="2:9" x14ac:dyDescent="0.3">
      <c r="B26" s="39"/>
      <c r="C26" s="40"/>
      <c r="D26" s="40"/>
      <c r="E26" s="40"/>
      <c r="F26" s="13"/>
      <c r="G26" s="25" t="str">
        <f>_xlfn.IFNA(VLOOKUP(B26,Sheet1!$B$4:$D$7,3,FALSE),"")</f>
        <v/>
      </c>
      <c r="H26" s="25" t="str">
        <f t="shared" si="0"/>
        <v/>
      </c>
      <c r="I26" s="26" t="str">
        <f t="shared" si="1"/>
        <v/>
      </c>
    </row>
    <row r="27" spans="2:9" x14ac:dyDescent="0.3">
      <c r="B27" s="39"/>
      <c r="C27" s="40"/>
      <c r="D27" s="40"/>
      <c r="E27" s="40"/>
      <c r="F27" s="13"/>
      <c r="G27" s="25" t="str">
        <f>_xlfn.IFNA(VLOOKUP(B27,Sheet1!$B$4:$D$7,3,FALSE),"")</f>
        <v/>
      </c>
      <c r="H27" s="25" t="str">
        <f t="shared" si="0"/>
        <v/>
      </c>
      <c r="I27" s="26" t="str">
        <f t="shared" si="1"/>
        <v/>
      </c>
    </row>
    <row r="28" spans="2:9" x14ac:dyDescent="0.3">
      <c r="B28" s="39"/>
      <c r="C28" s="40"/>
      <c r="D28" s="40"/>
      <c r="E28" s="40"/>
      <c r="F28" s="13"/>
      <c r="G28" s="25" t="str">
        <f>_xlfn.IFNA(VLOOKUP(B28,Sheet1!$B$4:$D$7,3,FALSE),"")</f>
        <v/>
      </c>
      <c r="H28" s="25" t="str">
        <f t="shared" si="0"/>
        <v/>
      </c>
      <c r="I28" s="26" t="str">
        <f t="shared" si="1"/>
        <v/>
      </c>
    </row>
    <row r="29" spans="2:9" x14ac:dyDescent="0.3">
      <c r="B29" s="39"/>
      <c r="C29" s="40"/>
      <c r="D29" s="40"/>
      <c r="E29" s="40"/>
      <c r="F29" s="13"/>
      <c r="G29" s="25" t="str">
        <f>_xlfn.IFNA(VLOOKUP(B29,Sheet1!$B$4:$D$7,3,FALSE),"")</f>
        <v/>
      </c>
      <c r="H29" s="25" t="str">
        <f t="shared" si="0"/>
        <v/>
      </c>
      <c r="I29" s="26" t="str">
        <f t="shared" si="1"/>
        <v/>
      </c>
    </row>
    <row r="30" spans="2:9" x14ac:dyDescent="0.3">
      <c r="B30" s="39"/>
      <c r="C30" s="40"/>
      <c r="D30" s="40"/>
      <c r="E30" s="40"/>
      <c r="F30" s="13"/>
      <c r="G30" s="25" t="str">
        <f>_xlfn.IFNA(VLOOKUP(B30,Sheet1!$B$4:$D$7,3,FALSE),"")</f>
        <v/>
      </c>
      <c r="H30" s="25" t="str">
        <f t="shared" si="0"/>
        <v/>
      </c>
      <c r="I30" s="26" t="str">
        <f t="shared" si="1"/>
        <v/>
      </c>
    </row>
    <row r="31" spans="2:9" x14ac:dyDescent="0.3">
      <c r="B31" s="54"/>
      <c r="C31" s="43"/>
      <c r="D31" s="43"/>
      <c r="E31" s="43"/>
      <c r="F31" s="14"/>
      <c r="G31" s="25" t="str">
        <f>_xlfn.IFNA(VLOOKUP(B31,Sheet1!$B$4:$D$7,3,FALSE),"")</f>
        <v/>
      </c>
      <c r="H31" s="27" t="str">
        <f t="shared" si="0"/>
        <v/>
      </c>
      <c r="I31" s="28" t="str">
        <f t="shared" si="1"/>
        <v/>
      </c>
    </row>
    <row r="33" spans="2:9" ht="15" thickBot="1" x14ac:dyDescent="0.35">
      <c r="B33" s="6" t="s">
        <v>10</v>
      </c>
      <c r="C33" s="6"/>
      <c r="D33" s="6"/>
      <c r="E33" s="6"/>
    </row>
    <row r="34" spans="2:9" ht="15" thickTop="1" x14ac:dyDescent="0.3">
      <c r="B34" s="15"/>
      <c r="C34" s="16"/>
      <c r="D34" s="16"/>
      <c r="E34" s="17"/>
      <c r="G34" s="7"/>
      <c r="H34" s="7"/>
      <c r="I34" s="7"/>
    </row>
    <row r="35" spans="2:9" x14ac:dyDescent="0.3">
      <c r="B35" s="18"/>
      <c r="E35" s="19"/>
      <c r="G35" t="s">
        <v>11</v>
      </c>
      <c r="I35" s="29">
        <f>SUM(I19:I31)</f>
        <v>0</v>
      </c>
    </row>
    <row r="36" spans="2:9" x14ac:dyDescent="0.3">
      <c r="B36" s="18"/>
      <c r="E36" s="19"/>
      <c r="G36" t="s">
        <v>8</v>
      </c>
      <c r="I36" s="29">
        <f>SUM(H19:H31)</f>
        <v>0</v>
      </c>
    </row>
    <row r="37" spans="2:9" ht="15" thickBot="1" x14ac:dyDescent="0.35">
      <c r="B37" s="20"/>
      <c r="C37" s="21"/>
      <c r="D37" s="21"/>
      <c r="E37" s="22"/>
      <c r="G37" s="3" t="s">
        <v>12</v>
      </c>
      <c r="H37" s="2"/>
      <c r="I37" s="30">
        <f>SUM(I35:I36)</f>
        <v>0</v>
      </c>
    </row>
    <row r="38" spans="2:9" ht="15" thickTop="1" x14ac:dyDescent="0.3"/>
    <row r="39" spans="2:9" x14ac:dyDescent="0.3">
      <c r="B39" s="37" t="s">
        <v>13</v>
      </c>
      <c r="C39" s="38"/>
      <c r="D39" s="38"/>
      <c r="E39" s="38"/>
      <c r="F39" s="38"/>
      <c r="G39" s="38" t="s">
        <v>14</v>
      </c>
      <c r="H39" s="38"/>
      <c r="I39" s="56"/>
    </row>
    <row r="40" spans="2:9" x14ac:dyDescent="0.3">
      <c r="B40" s="39" t="s">
        <v>15</v>
      </c>
      <c r="C40" s="40"/>
      <c r="D40" s="40"/>
      <c r="E40" s="40"/>
      <c r="F40" s="40"/>
      <c r="G40" s="13" t="s">
        <v>19</v>
      </c>
      <c r="H40" s="40"/>
      <c r="I40" s="41"/>
    </row>
    <row r="41" spans="2:9" x14ac:dyDescent="0.3">
      <c r="B41" s="39" t="s">
        <v>16</v>
      </c>
      <c r="C41" s="40"/>
      <c r="D41" s="40"/>
      <c r="E41" s="40"/>
      <c r="F41" s="40"/>
      <c r="G41" s="13" t="s">
        <v>20</v>
      </c>
      <c r="H41" s="40"/>
      <c r="I41" s="41"/>
    </row>
    <row r="42" spans="2:9" x14ac:dyDescent="0.3">
      <c r="B42" s="39" t="s">
        <v>17</v>
      </c>
      <c r="C42" s="40"/>
      <c r="D42" s="40"/>
      <c r="E42" s="40"/>
      <c r="F42" s="40"/>
      <c r="G42" s="13" t="s">
        <v>21</v>
      </c>
      <c r="H42" s="40"/>
      <c r="I42" s="41"/>
    </row>
    <row r="43" spans="2:9" x14ac:dyDescent="0.3">
      <c r="B43" s="54" t="s">
        <v>18</v>
      </c>
      <c r="C43" s="43"/>
      <c r="D43" s="43"/>
      <c r="E43" s="43"/>
      <c r="F43" s="43"/>
      <c r="G43" s="14" t="s">
        <v>22</v>
      </c>
      <c r="H43" s="43"/>
      <c r="I43" s="44"/>
    </row>
  </sheetData>
  <mergeCells count="34">
    <mergeCell ref="B1:E1"/>
    <mergeCell ref="G39:I39"/>
    <mergeCell ref="H40:I40"/>
    <mergeCell ref="H41:I41"/>
    <mergeCell ref="H42:I42"/>
    <mergeCell ref="B30:E30"/>
    <mergeCell ref="B31:E31"/>
    <mergeCell ref="B24:E24"/>
    <mergeCell ref="B25:E25"/>
    <mergeCell ref="B26:E26"/>
    <mergeCell ref="B27:E27"/>
    <mergeCell ref="B28:E28"/>
    <mergeCell ref="B29:E29"/>
    <mergeCell ref="B23:E23"/>
    <mergeCell ref="H1:I1"/>
    <mergeCell ref="C3:D3"/>
    <mergeCell ref="H43:I43"/>
    <mergeCell ref="B39:F39"/>
    <mergeCell ref="B40:F40"/>
    <mergeCell ref="B41:F41"/>
    <mergeCell ref="B42:F42"/>
    <mergeCell ref="B43:F43"/>
    <mergeCell ref="C4:D4"/>
    <mergeCell ref="C5:D5"/>
    <mergeCell ref="C6:D6"/>
    <mergeCell ref="G3:I3"/>
    <mergeCell ref="G4:I4"/>
    <mergeCell ref="G5:I5"/>
    <mergeCell ref="G6:I6"/>
    <mergeCell ref="B18:E18"/>
    <mergeCell ref="B19:E19"/>
    <mergeCell ref="B20:E20"/>
    <mergeCell ref="B21:E21"/>
    <mergeCell ref="B22:E22"/>
  </mergeCells>
  <dataValidations count="2">
    <dataValidation type="list" allowBlank="1" showInputMessage="1" showErrorMessage="1" sqref="C6:D6" xr:uid="{F2DA68E8-5B5F-4CEE-9B4A-105D8A8499B1}">
      <formula1>"30"</formula1>
    </dataValidation>
    <dataValidation type="list" allowBlank="1" showInputMessage="1" showErrorMessage="1" sqref="B10" xr:uid="{C9A6D898-2F19-4BE6-B101-4DAF01F8F34C}">
      <formula1>Customer_DD</formula1>
    </dataValidation>
  </dataValidations>
  <pageMargins left="0.59055118110236227" right="0.39370078740157483" top="0.78740157480314965" bottom="0.78740157480314965" header="0.31496062992125984" footer="0.31496062992125984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0" r:id="rId4" name="Button 16">
              <controlPr defaultSize="0" autoFill="0" autoPict="0" macro="[0]!clear_invoice">
                <anchor moveWithCells="1" sizeWithCells="1">
                  <from>
                    <xdr:col>9</xdr:col>
                    <xdr:colOff>594360</xdr:colOff>
                    <xdr:row>0</xdr:row>
                    <xdr:rowOff>121920</xdr:rowOff>
                  </from>
                  <to>
                    <xdr:col>12</xdr:col>
                    <xdr:colOff>403860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5" name="Button 25">
              <controlPr defaultSize="0" autoFill="0" autoPict="0" macro="[0]!save_as_PDF">
                <anchor moveWithCells="1" sizeWithCells="1">
                  <from>
                    <xdr:col>9</xdr:col>
                    <xdr:colOff>579120</xdr:colOff>
                    <xdr:row>3</xdr:row>
                    <xdr:rowOff>83820</xdr:rowOff>
                  </from>
                  <to>
                    <xdr:col>12</xdr:col>
                    <xdr:colOff>411480</xdr:colOff>
                    <xdr:row>6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637802B-B32A-4BC7-88DB-F892B0530692}">
          <x14:formula1>
            <xm:f>Sheet1!$B$4:$B$7</xm:f>
          </x14:formula1>
          <xm:sqref>B19:E31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B548B-F5ED-4525-8702-CBE8B8744C16}">
  <sheetPr codeName="Sheet3"/>
  <dimension ref="A1:G5"/>
  <sheetViews>
    <sheetView workbookViewId="0">
      <selection activeCell="G2" sqref="G2"/>
    </sheetView>
  </sheetViews>
  <sheetFormatPr defaultRowHeight="14.4" x14ac:dyDescent="0.3"/>
  <cols>
    <col min="1" max="1" width="17" customWidth="1"/>
    <col min="2" max="2" width="11" customWidth="1"/>
    <col min="3" max="3" width="20" bestFit="1" customWidth="1"/>
    <col min="4" max="6" width="11" customWidth="1"/>
    <col min="7" max="7" width="25.44140625" bestFit="1" customWidth="1"/>
  </cols>
  <sheetData>
    <row r="1" spans="1:7" x14ac:dyDescent="0.3">
      <c r="A1" t="s">
        <v>23</v>
      </c>
      <c r="B1" t="s">
        <v>24</v>
      </c>
      <c r="C1" t="s">
        <v>25</v>
      </c>
      <c r="D1" t="s">
        <v>26</v>
      </c>
      <c r="E1" t="s">
        <v>27</v>
      </c>
      <c r="F1" t="s">
        <v>28</v>
      </c>
      <c r="G1" t="s">
        <v>18</v>
      </c>
    </row>
    <row r="2" spans="1:7" x14ac:dyDescent="0.3">
      <c r="A2" t="s">
        <v>29</v>
      </c>
      <c r="B2" t="s">
        <v>30</v>
      </c>
      <c r="C2" t="s">
        <v>31</v>
      </c>
      <c r="D2" t="s">
        <v>32</v>
      </c>
      <c r="E2" t="s">
        <v>33</v>
      </c>
      <c r="F2" t="s">
        <v>34</v>
      </c>
      <c r="G2" s="23" t="s">
        <v>49</v>
      </c>
    </row>
    <row r="3" spans="1:7" x14ac:dyDescent="0.3">
      <c r="A3" t="s">
        <v>35</v>
      </c>
      <c r="B3" t="s">
        <v>36</v>
      </c>
      <c r="C3" t="s">
        <v>37</v>
      </c>
      <c r="D3" t="s">
        <v>38</v>
      </c>
      <c r="E3" t="s">
        <v>39</v>
      </c>
      <c r="F3" t="s">
        <v>40</v>
      </c>
      <c r="G3" s="23" t="s">
        <v>49</v>
      </c>
    </row>
    <row r="4" spans="1:7" x14ac:dyDescent="0.3">
      <c r="A4" t="s">
        <v>41</v>
      </c>
    </row>
    <row r="5" spans="1:7" x14ac:dyDescent="0.3">
      <c r="A5" t="s">
        <v>42</v>
      </c>
      <c r="G5" s="23"/>
    </row>
  </sheetData>
  <phoneticPr fontId="5" type="noConversion"/>
  <hyperlinks>
    <hyperlink ref="G3" r:id="rId1" xr:uid="{8FE24C68-BF01-49A1-9DBB-4068A8313358}"/>
    <hyperlink ref="G2" r:id="rId2" xr:uid="{69E5C0BE-1C97-486F-A413-66F787D27B02}"/>
  </hyperlinks>
  <pageMargins left="0.7" right="0.7" top="0.75" bottom="0.75" header="0.3" footer="0.3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7176DE-267C-46A3-9EE1-1A47E8B5ADBE}">
  <sheetPr codeName="Sheet4"/>
  <dimension ref="A1:H6"/>
  <sheetViews>
    <sheetView tabSelected="1" workbookViewId="0">
      <selection activeCell="F2" sqref="F2"/>
    </sheetView>
  </sheetViews>
  <sheetFormatPr defaultRowHeight="14.4" x14ac:dyDescent="0.3"/>
  <cols>
    <col min="1" max="1" width="10.5546875" bestFit="1" customWidth="1"/>
    <col min="2" max="2" width="9.109375" bestFit="1" customWidth="1"/>
    <col min="3" max="3" width="9.5546875" bestFit="1" customWidth="1"/>
    <col min="4" max="5" width="10.5546875" bestFit="1" customWidth="1"/>
    <col min="6" max="6" width="4.6640625" bestFit="1" customWidth="1"/>
    <col min="7" max="7" width="55.88671875" bestFit="1" customWidth="1"/>
  </cols>
  <sheetData>
    <row r="1" spans="1:8" x14ac:dyDescent="0.3">
      <c r="A1" s="5" t="s">
        <v>1</v>
      </c>
      <c r="B1" s="5" t="s">
        <v>43</v>
      </c>
      <c r="C1" s="5" t="s">
        <v>44</v>
      </c>
      <c r="D1" s="5" t="s">
        <v>45</v>
      </c>
      <c r="E1" s="5" t="s">
        <v>46</v>
      </c>
      <c r="F1" s="5" t="s">
        <v>47</v>
      </c>
      <c r="G1" s="5" t="s">
        <v>48</v>
      </c>
    </row>
    <row r="2" spans="1:8" x14ac:dyDescent="0.3">
      <c r="A2">
        <v>9001</v>
      </c>
      <c r="C2" s="31">
        <v>0</v>
      </c>
      <c r="D2" s="32">
        <v>45458</v>
      </c>
      <c r="E2" s="32">
        <v>45488</v>
      </c>
      <c r="F2" t="s">
        <v>60</v>
      </c>
      <c r="G2" s="23" t="s">
        <v>59</v>
      </c>
    </row>
    <row r="3" spans="1:8" x14ac:dyDescent="0.3">
      <c r="C3" s="31"/>
      <c r="D3" s="32"/>
      <c r="E3" s="32"/>
      <c r="G3" s="23"/>
    </row>
    <row r="4" spans="1:8" x14ac:dyDescent="0.3">
      <c r="C4" s="31"/>
      <c r="D4" s="32"/>
      <c r="E4" s="32"/>
      <c r="G4" s="23"/>
      <c r="H4" s="34"/>
    </row>
    <row r="5" spans="1:8" x14ac:dyDescent="0.3">
      <c r="C5" s="33"/>
      <c r="D5" s="32"/>
      <c r="E5" s="32"/>
      <c r="G5" s="23"/>
    </row>
    <row r="6" spans="1:8" x14ac:dyDescent="0.3">
      <c r="C6" s="33"/>
      <c r="D6" s="32"/>
      <c r="E6" s="32"/>
      <c r="G6" s="23"/>
    </row>
  </sheetData>
  <dataConsolidate/>
  <conditionalFormatting sqref="A2:F1000">
    <cfRule type="expression" dxfId="0" priority="1">
      <formula>AND($A2&lt;&gt;"",$E2&lt;TODAY(),$F2&lt;&gt;"Yes")</formula>
    </cfRule>
  </conditionalFormatting>
  <dataValidations count="1">
    <dataValidation type="list" allowBlank="1" showInputMessage="1" showErrorMessage="1" sqref="F2:F1000" xr:uid="{92797B9C-7A0E-45D1-851A-A23BF542D74A}">
      <formula1>"Yes"</formula1>
    </dataValidation>
  </dataValidations>
  <hyperlinks>
    <hyperlink ref="G2" r:id="rId1" xr:uid="{3EEC764E-0AA9-4325-B13F-03D8EC42FB12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9896A6-2807-41FA-A3FC-324125C0C2ED}">
  <sheetPr codeName="Sheet1"/>
  <dimension ref="A2:E7"/>
  <sheetViews>
    <sheetView workbookViewId="0">
      <selection activeCell="D8" sqref="D8"/>
    </sheetView>
  </sheetViews>
  <sheetFormatPr defaultRowHeight="14.4" x14ac:dyDescent="0.3"/>
  <cols>
    <col min="2" max="2" width="18" bestFit="1" customWidth="1"/>
    <col min="3" max="3" width="9.33203125" bestFit="1" customWidth="1"/>
    <col min="4" max="4" width="6.109375" bestFit="1" customWidth="1"/>
  </cols>
  <sheetData>
    <row r="2" spans="1:5" ht="21" x14ac:dyDescent="0.4">
      <c r="B2" s="60" t="s">
        <v>50</v>
      </c>
      <c r="C2" s="60"/>
      <c r="D2" s="60"/>
      <c r="E2" s="60"/>
    </row>
    <row r="3" spans="1:5" ht="15.6" x14ac:dyDescent="0.3">
      <c r="B3" s="35" t="s">
        <v>52</v>
      </c>
      <c r="C3" s="35" t="s">
        <v>53</v>
      </c>
      <c r="D3" s="35" t="s">
        <v>7</v>
      </c>
    </row>
    <row r="4" spans="1:5" x14ac:dyDescent="0.3">
      <c r="A4">
        <v>1</v>
      </c>
      <c r="B4" t="s">
        <v>51</v>
      </c>
      <c r="C4">
        <v>30</v>
      </c>
      <c r="D4">
        <v>599</v>
      </c>
    </row>
    <row r="5" spans="1:5" x14ac:dyDescent="0.3">
      <c r="A5">
        <v>2</v>
      </c>
      <c r="B5" t="s">
        <v>54</v>
      </c>
      <c r="C5">
        <v>30</v>
      </c>
      <c r="D5">
        <v>899</v>
      </c>
    </row>
    <row r="6" spans="1:5" x14ac:dyDescent="0.3">
      <c r="A6">
        <v>3</v>
      </c>
      <c r="B6" t="s">
        <v>55</v>
      </c>
      <c r="C6">
        <v>30</v>
      </c>
      <c r="D6">
        <v>1199</v>
      </c>
    </row>
    <row r="7" spans="1:5" x14ac:dyDescent="0.3">
      <c r="A7">
        <v>4</v>
      </c>
      <c r="B7" t="s">
        <v>56</v>
      </c>
      <c r="C7">
        <v>30</v>
      </c>
      <c r="D7">
        <v>1999</v>
      </c>
    </row>
  </sheetData>
  <mergeCells count="1">
    <mergeCell ref="B2:E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Invoice_Template</vt:lpstr>
      <vt:lpstr>Customer_data</vt:lpstr>
      <vt:lpstr>Invoice_records</vt:lpstr>
      <vt:lpstr>Sheet1</vt:lpstr>
      <vt:lpstr>Customer_DD</vt:lpstr>
      <vt:lpstr>Invoice_Template!Print_Area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ACER</dc:creator>
  <cp:lastModifiedBy>PANKAJ BISHT</cp:lastModifiedBy>
  <cp:lastPrinted>2024-07-27T06:28:07Z</cp:lastPrinted>
  <dcterms:created xsi:type="dcterms:W3CDTF">2015-06-05T18:17:20Z</dcterms:created>
  <dcterms:modified xsi:type="dcterms:W3CDTF">2024-07-27T06:56:00Z</dcterms:modified>
</cp:coreProperties>
</file>
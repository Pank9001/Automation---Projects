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c5a6992679c711c8/Desktop/"/>
    </mc:Choice>
  </mc:AlternateContent>
  <xr:revisionPtr revIDLastSave="1" documentId="13_ncr:1_{C01F7110-FF2D-49FB-973C-00A9334AF6DB}" xr6:coauthVersionLast="47" xr6:coauthVersionMax="47" xr10:uidLastSave="{83D4F70E-69A9-4B94-9F9A-292165EBA7D3}"/>
  <bookViews>
    <workbookView xWindow="-108" yWindow="-108" windowWidth="23256" windowHeight="12456" activeTab="4" xr2:uid="{00000000-000D-0000-FFFF-FFFF00000000}"/>
  </bookViews>
  <sheets>
    <sheet name="Payslip" sheetId="1" r:id="rId1"/>
    <sheet name="Emp_database" sheetId="2" r:id="rId2"/>
    <sheet name="Attendance" sheetId="3" r:id="rId3"/>
    <sheet name="Payslip_records" sheetId="5" r:id="rId4"/>
    <sheet name="Day_record" sheetId="4" r:id="rId5"/>
  </sheets>
  <definedNames>
    <definedName name="Emp_ID">Employee_Info[Emp_ID]</definedName>
    <definedName name="_xlnm.Print_Area" localSheetId="0">Payslip!$B$1:$E$23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4" i="3" l="1"/>
  <c r="AM8" i="3"/>
  <c r="AM9" i="3"/>
  <c r="AM10" i="3"/>
  <c r="AM11" i="3"/>
  <c r="AM12" i="3"/>
  <c r="AM13" i="3"/>
  <c r="AM14" i="3"/>
  <c r="AM15" i="3"/>
  <c r="AM16" i="3"/>
  <c r="AM17" i="3"/>
  <c r="AM18" i="3"/>
  <c r="AM19" i="3"/>
  <c r="AM20" i="3"/>
  <c r="AM21" i="3"/>
  <c r="AM22" i="3"/>
  <c r="AM23" i="3"/>
  <c r="AM24" i="3"/>
  <c r="AM25" i="3"/>
  <c r="AM26" i="3"/>
  <c r="AM27" i="3"/>
  <c r="AM28" i="3"/>
  <c r="AM29" i="3"/>
  <c r="AM30" i="3"/>
  <c r="AM31" i="3"/>
  <c r="AM32" i="3"/>
  <c r="AM33" i="3"/>
  <c r="AM34" i="3"/>
  <c r="AM35" i="3"/>
  <c r="AM36" i="3"/>
  <c r="AM37" i="3"/>
  <c r="AM38" i="3"/>
  <c r="AM39" i="3"/>
  <c r="AM40" i="3"/>
  <c r="AM7" i="3"/>
  <c r="O4" i="2"/>
  <c r="Q4" i="2" s="1"/>
  <c r="AK7" i="3"/>
  <c r="AL40" i="3"/>
  <c r="AK40" i="3"/>
  <c r="AJ40" i="3"/>
  <c r="AL39" i="3"/>
  <c r="AK39" i="3"/>
  <c r="AJ39" i="3"/>
  <c r="AL38" i="3"/>
  <c r="AK38" i="3"/>
  <c r="AJ38" i="3"/>
  <c r="AL37" i="3"/>
  <c r="AK37" i="3"/>
  <c r="AJ37" i="3"/>
  <c r="AL36" i="3"/>
  <c r="AK36" i="3"/>
  <c r="AJ36" i="3"/>
  <c r="AL35" i="3"/>
  <c r="AK35" i="3"/>
  <c r="AJ35" i="3"/>
  <c r="AL34" i="3"/>
  <c r="AK34" i="3"/>
  <c r="AJ34" i="3"/>
  <c r="AL33" i="3"/>
  <c r="AK33" i="3"/>
  <c r="AJ33" i="3"/>
  <c r="AL32" i="3"/>
  <c r="AK32" i="3"/>
  <c r="AJ32" i="3"/>
  <c r="AL31" i="3"/>
  <c r="AK31" i="3"/>
  <c r="AJ31" i="3"/>
  <c r="AL30" i="3"/>
  <c r="AK30" i="3"/>
  <c r="AJ30" i="3"/>
  <c r="AL29" i="3"/>
  <c r="AK29" i="3"/>
  <c r="AJ29" i="3"/>
  <c r="AL28" i="3"/>
  <c r="AK28" i="3"/>
  <c r="AJ28" i="3"/>
  <c r="AL27" i="3"/>
  <c r="AK27" i="3"/>
  <c r="AJ27" i="3"/>
  <c r="AL26" i="3"/>
  <c r="AK26" i="3"/>
  <c r="AJ26" i="3"/>
  <c r="AL25" i="3"/>
  <c r="AK25" i="3"/>
  <c r="AJ25" i="3"/>
  <c r="AL24" i="3"/>
  <c r="AK24" i="3"/>
  <c r="AJ24" i="3"/>
  <c r="AL23" i="3"/>
  <c r="AK23" i="3"/>
  <c r="AJ23" i="3"/>
  <c r="AL22" i="3"/>
  <c r="AK22" i="3"/>
  <c r="AJ22" i="3"/>
  <c r="AL21" i="3"/>
  <c r="AK21" i="3"/>
  <c r="AJ21" i="3"/>
  <c r="AL20" i="3"/>
  <c r="AK20" i="3"/>
  <c r="AJ20" i="3"/>
  <c r="AL19" i="3"/>
  <c r="AK19" i="3"/>
  <c r="AJ19" i="3"/>
  <c r="AL18" i="3"/>
  <c r="AK18" i="3"/>
  <c r="AJ18" i="3"/>
  <c r="AL17" i="3"/>
  <c r="AK17" i="3"/>
  <c r="AJ17" i="3"/>
  <c r="AL16" i="3"/>
  <c r="AK16" i="3"/>
  <c r="AJ16" i="3"/>
  <c r="AL15" i="3"/>
  <c r="AK15" i="3"/>
  <c r="AJ15" i="3"/>
  <c r="AL14" i="3"/>
  <c r="AK14" i="3"/>
  <c r="AJ14" i="3"/>
  <c r="AL13" i="3"/>
  <c r="AK13" i="3"/>
  <c r="AJ13" i="3"/>
  <c r="AL12" i="3"/>
  <c r="AK12" i="3"/>
  <c r="AJ12" i="3"/>
  <c r="AL11" i="3"/>
  <c r="AK11" i="3"/>
  <c r="AJ11" i="3"/>
  <c r="AL10" i="3"/>
  <c r="AK10" i="3"/>
  <c r="AJ10" i="3"/>
  <c r="AL9" i="3"/>
  <c r="AK9" i="3"/>
  <c r="AJ9" i="3"/>
  <c r="AL8" i="3"/>
  <c r="AK8" i="3"/>
  <c r="AJ8" i="3"/>
  <c r="G3" i="2" s="1"/>
  <c r="AL7" i="3"/>
  <c r="AJ7" i="3"/>
  <c r="G2" i="2" s="1"/>
  <c r="B20" i="3"/>
  <c r="AH3" i="3"/>
  <c r="AH2" i="3"/>
  <c r="AH1" i="3"/>
  <c r="B1" i="3"/>
  <c r="B2" i="3" s="1"/>
  <c r="C19" i="1"/>
  <c r="C18" i="1"/>
  <c r="C17" i="1"/>
  <c r="C16" i="1"/>
  <c r="C15" i="1"/>
  <c r="E15" i="1"/>
  <c r="C12" i="1"/>
  <c r="C13" i="1"/>
  <c r="C11" i="1"/>
  <c r="C10" i="1"/>
  <c r="C9" i="1"/>
  <c r="E2" i="2" l="1"/>
  <c r="E3" i="2"/>
  <c r="C20" i="1"/>
  <c r="H6" i="3"/>
  <c r="D1" i="3"/>
  <c r="O3" i="2"/>
  <c r="Q3" i="2" s="1"/>
  <c r="O2" i="2"/>
  <c r="Q2" i="2" s="1"/>
  <c r="B6" i="1"/>
  <c r="D11" i="1" l="1"/>
  <c r="H5" i="3"/>
  <c r="I6" i="3"/>
  <c r="I5" i="3" s="1"/>
  <c r="H1" i="3"/>
  <c r="H3" i="3"/>
  <c r="H4" i="3"/>
  <c r="H2" i="3"/>
  <c r="E16" i="1"/>
  <c r="E20" i="1" s="1"/>
  <c r="B21" i="1" s="1"/>
  <c r="D10" i="1" l="1"/>
  <c r="J6" i="3"/>
  <c r="I4" i="3"/>
  <c r="I2" i="3"/>
  <c r="I1" i="3"/>
  <c r="I3" i="3"/>
  <c r="K6" i="3" l="1"/>
  <c r="K5" i="3" s="1"/>
  <c r="J4" i="3"/>
  <c r="J2" i="3"/>
  <c r="J1" i="3"/>
  <c r="J3" i="3"/>
  <c r="J5" i="3"/>
  <c r="L6" i="3" l="1"/>
  <c r="K4" i="3"/>
  <c r="K2" i="3"/>
  <c r="K3" i="3"/>
  <c r="K1" i="3"/>
  <c r="M6" i="3" l="1"/>
  <c r="M5" i="3" s="1"/>
  <c r="L2" i="3"/>
  <c r="L4" i="3"/>
  <c r="L3" i="3"/>
  <c r="L1" i="3"/>
  <c r="L5" i="3"/>
  <c r="N6" i="3" l="1"/>
  <c r="N5" i="3" s="1"/>
  <c r="M2" i="3"/>
  <c r="M4" i="3"/>
  <c r="M3" i="3"/>
  <c r="M1" i="3"/>
  <c r="O6" i="3" l="1"/>
  <c r="O5" i="3" s="1"/>
  <c r="N1" i="3"/>
  <c r="N2" i="3"/>
  <c r="N4" i="3"/>
  <c r="N3" i="3"/>
  <c r="P6" i="3" l="1"/>
  <c r="P5" i="3" s="1"/>
  <c r="O1" i="3"/>
  <c r="O2" i="3"/>
  <c r="O4" i="3"/>
  <c r="O3" i="3"/>
  <c r="Q6" i="3" l="1"/>
  <c r="Q5" i="3" s="1"/>
  <c r="P1" i="3"/>
  <c r="P2" i="3"/>
  <c r="P3" i="3"/>
  <c r="P4" i="3"/>
  <c r="R6" i="3" l="1"/>
  <c r="R5" i="3" s="1"/>
  <c r="Q2" i="3"/>
  <c r="Q1" i="3"/>
  <c r="Q3" i="3"/>
  <c r="Q4" i="3"/>
  <c r="S6" i="3" l="1"/>
  <c r="S5" i="3" s="1"/>
  <c r="R1" i="3"/>
  <c r="R4" i="3"/>
  <c r="R3" i="3"/>
  <c r="R2" i="3"/>
  <c r="T6" i="3" l="1"/>
  <c r="T5" i="3" s="1"/>
  <c r="S3" i="3"/>
  <c r="S4" i="3"/>
  <c r="S1" i="3"/>
  <c r="S2" i="3"/>
  <c r="U6" i="3" l="1"/>
  <c r="U5" i="3" s="1"/>
  <c r="T3" i="3"/>
  <c r="T1" i="3"/>
  <c r="T4" i="3"/>
  <c r="T2" i="3"/>
  <c r="V6" i="3" l="1"/>
  <c r="V5" i="3" s="1"/>
  <c r="U3" i="3"/>
  <c r="U1" i="3"/>
  <c r="U2" i="3"/>
  <c r="U4" i="3"/>
  <c r="W6" i="3" l="1"/>
  <c r="W5" i="3" s="1"/>
  <c r="V3" i="3"/>
  <c r="V1" i="3"/>
  <c r="V2" i="3"/>
  <c r="V4" i="3"/>
  <c r="X6" i="3" l="1"/>
  <c r="X5" i="3" s="1"/>
  <c r="W3" i="3"/>
  <c r="W1" i="3"/>
  <c r="W2" i="3"/>
  <c r="W4" i="3"/>
  <c r="Y6" i="3" l="1"/>
  <c r="Y5" i="3" s="1"/>
  <c r="X4" i="3"/>
  <c r="X2" i="3"/>
  <c r="X1" i="3"/>
  <c r="X3" i="3"/>
  <c r="Z6" i="3" l="1"/>
  <c r="Z5" i="3" s="1"/>
  <c r="Y4" i="3"/>
  <c r="Y2" i="3"/>
  <c r="Y1" i="3"/>
  <c r="Y3" i="3"/>
  <c r="AA6" i="3" l="1"/>
  <c r="AA5" i="3" s="1"/>
  <c r="Z4" i="3"/>
  <c r="Z2" i="3"/>
  <c r="Z1" i="3"/>
  <c r="Z3" i="3"/>
  <c r="AB6" i="3" l="1"/>
  <c r="AB5" i="3" s="1"/>
  <c r="AA4" i="3"/>
  <c r="AA2" i="3"/>
  <c r="AA3" i="3"/>
  <c r="AA1" i="3"/>
  <c r="AC6" i="3" l="1"/>
  <c r="AC5" i="3" s="1"/>
  <c r="AB4" i="3"/>
  <c r="AB2" i="3"/>
  <c r="AB3" i="3"/>
  <c r="AB1" i="3"/>
  <c r="AD6" i="3" l="1"/>
  <c r="AD5" i="3" s="1"/>
  <c r="AC2" i="3"/>
  <c r="AC4" i="3"/>
  <c r="AC3" i="3"/>
  <c r="AC1" i="3"/>
  <c r="AE6" i="3" l="1"/>
  <c r="AE5" i="3" s="1"/>
  <c r="AD1" i="3"/>
  <c r="AD2" i="3"/>
  <c r="AD4" i="3"/>
  <c r="AD3" i="3"/>
  <c r="AF6" i="3" l="1"/>
  <c r="AF5" i="3" s="1"/>
  <c r="AE4" i="3"/>
  <c r="AE1" i="3"/>
  <c r="AE2" i="3"/>
  <c r="AE3" i="3"/>
  <c r="AG6" i="3" l="1"/>
  <c r="AG5" i="3" s="1"/>
  <c r="AF2" i="3"/>
  <c r="AF1" i="3"/>
  <c r="AF4" i="3"/>
  <c r="AF3" i="3"/>
  <c r="AG2" i="3" l="1"/>
  <c r="B25" i="3" s="1"/>
  <c r="AG1" i="3"/>
  <c r="D20" i="3" s="1"/>
  <c r="AG3" i="3"/>
  <c r="D25" i="3" s="1"/>
  <c r="AG4" i="3"/>
  <c r="B30" i="3" s="1"/>
</calcChain>
</file>

<file path=xl/sharedStrings.xml><?xml version="1.0" encoding="utf-8"?>
<sst xmlns="http://schemas.openxmlformats.org/spreadsheetml/2006/main" count="105" uniqueCount="79">
  <si>
    <t>OPHANIM TECHNOLOGIES</t>
  </si>
  <si>
    <t xml:space="preserve">Employee Name </t>
  </si>
  <si>
    <t>Designation</t>
  </si>
  <si>
    <t>Emp_ID</t>
  </si>
  <si>
    <t xml:space="preserve">Employee_Name </t>
  </si>
  <si>
    <t xml:space="preserve">Provident Fund </t>
  </si>
  <si>
    <t>ADRESS: Uttarakhand, India</t>
  </si>
  <si>
    <t>EMPLOYEE PAY SUMMARY</t>
  </si>
  <si>
    <t>Date of Joining</t>
  </si>
  <si>
    <t xml:space="preserve">PF A/C Number </t>
  </si>
  <si>
    <t>UAN</t>
  </si>
  <si>
    <t xml:space="preserve">EARNINGS </t>
  </si>
  <si>
    <t xml:space="preserve">AMOUNT </t>
  </si>
  <si>
    <t>DEDUCTIONS</t>
  </si>
  <si>
    <t>AMOUNT</t>
  </si>
  <si>
    <t xml:space="preserve">Basic </t>
  </si>
  <si>
    <t xml:space="preserve">House Rent Allowance </t>
  </si>
  <si>
    <t xml:space="preserve">Conveyance Allowance </t>
  </si>
  <si>
    <t xml:space="preserve">Children Education Allowance </t>
  </si>
  <si>
    <t xml:space="preserve">Fixed Allowance </t>
  </si>
  <si>
    <t xml:space="preserve">Gross Earnings </t>
  </si>
  <si>
    <t>Total Deductions</t>
  </si>
  <si>
    <t>EPF Contribution</t>
  </si>
  <si>
    <t xml:space="preserve">Professional Tax </t>
  </si>
  <si>
    <t>Paid_days</t>
  </si>
  <si>
    <t>Pankaj Bisht</t>
  </si>
  <si>
    <t xml:space="preserve">Sarthak Thapliyal </t>
  </si>
  <si>
    <t xml:space="preserve">Finance </t>
  </si>
  <si>
    <t xml:space="preserve">Employee Net Pay </t>
  </si>
  <si>
    <t>Attendance Sheet</t>
  </si>
  <si>
    <t>Select Month :</t>
  </si>
  <si>
    <t>Select Year :</t>
  </si>
  <si>
    <t>Week Off :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</si>
  <si>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</si>
  <si>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</si>
  <si>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</si>
  <si>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</si>
  <si>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</si>
  <si>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</si>
  <si>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</si>
  <si>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</si>
  <si>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</si>
  <si>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</si>
  <si>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</si>
  <si>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</si>
  <si>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Sunday</t>
  </si>
  <si>
    <t>Monday</t>
  </si>
  <si>
    <t>Tuesday</t>
  </si>
  <si>
    <t>Wednesday</t>
  </si>
  <si>
    <t>Thursday</t>
  </si>
  <si>
    <t>Friday</t>
  </si>
  <si>
    <t>Saturday</t>
  </si>
  <si>
    <t>Name</t>
  </si>
  <si>
    <t>To</t>
  </si>
  <si>
    <t>P = Present:</t>
  </si>
  <si>
    <t>A = Absent:</t>
  </si>
  <si>
    <t>H = Half Day:</t>
  </si>
  <si>
    <t>Total Employees</t>
  </si>
  <si>
    <t>Present</t>
  </si>
  <si>
    <t>Absent</t>
  </si>
  <si>
    <t xml:space="preserve">Half - day </t>
  </si>
  <si>
    <t>p</t>
  </si>
  <si>
    <t>a</t>
  </si>
  <si>
    <t>h</t>
  </si>
  <si>
    <t xml:space="preserve">Absent </t>
  </si>
  <si>
    <t>Leave</t>
  </si>
  <si>
    <t>l</t>
  </si>
  <si>
    <t xml:space="preserve">LWP Days </t>
  </si>
  <si>
    <t xml:space="preserve">Employee ID </t>
  </si>
  <si>
    <t xml:space="preserve">A/C Number </t>
  </si>
  <si>
    <t xml:space="preserve">Sarthak </t>
  </si>
  <si>
    <t xml:space="preserve">Net Pay </t>
  </si>
  <si>
    <t xml:space="preserve">Paid </t>
  </si>
  <si>
    <t xml:space="preserve">PDF_record </t>
  </si>
  <si>
    <t>Phone number</t>
  </si>
  <si>
    <t>l = Leave:</t>
  </si>
  <si>
    <t>Ophanim Technologies</t>
  </si>
  <si>
    <t>C:\Users\ACER\OneDrive\Desktop\PaySlip PDF\1 - Pankaj Bisht.pdf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</si>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</sst>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dd"/>
    <numFmt numFmtId="166" formatCode="&quot;£&quot;#,##0.00"/>
    <numFmt numFmtId="167" formatCode="[$₹-4009]\ #,##0.00"/>
  </numFmts>
  <fonts count="15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2060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02">
    <xf numFmtId="0" fontId="0" fillId="0" borderId="0" xfId="0"/>
    <xf numFmtId="14" fontId="0" fillId="0" borderId="0" xfId="0" applyNumberFormat="1"/>
    <xf numFmtId="0" fontId="0" fillId="0" borderId="5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0" fontId="0" fillId="0" borderId="9" xfId="0" applyBorder="1"/>
    <xf numFmtId="0" fontId="0" fillId="0" borderId="4" xfId="0" applyBorder="1"/>
    <xf numFmtId="0" fontId="0" fillId="0" borderId="2" xfId="0" applyBorder="1"/>
    <xf numFmtId="164" fontId="0" fillId="0" borderId="0" xfId="0" applyNumberFormat="1"/>
    <xf numFmtId="0" fontId="2" fillId="0" borderId="0" xfId="0" applyFont="1"/>
    <xf numFmtId="0" fontId="2" fillId="0" borderId="0" xfId="0" applyFont="1" applyAlignment="1">
      <alignment horizontal="right"/>
    </xf>
    <xf numFmtId="0" fontId="0" fillId="0" borderId="0" xfId="0" applyAlignment="1">
      <alignment textRotation="90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7" fillId="0" borderId="0" xfId="0" applyFont="1"/>
    <xf numFmtId="0" fontId="0" fillId="0" borderId="5" xfId="0" applyBorder="1" applyAlignment="1">
      <alignment vertical="center"/>
    </xf>
    <xf numFmtId="0" fontId="9" fillId="0" borderId="6" xfId="0" applyFont="1" applyBorder="1" applyAlignment="1">
      <alignment vertical="center"/>
    </xf>
    <xf numFmtId="0" fontId="9" fillId="0" borderId="7" xfId="0" applyFont="1" applyBorder="1" applyAlignment="1">
      <alignment vertical="center"/>
    </xf>
    <xf numFmtId="0" fontId="9" fillId="0" borderId="8" xfId="0" applyFont="1" applyBorder="1" applyAlignment="1">
      <alignment vertical="center"/>
    </xf>
    <xf numFmtId="0" fontId="9" fillId="0" borderId="9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9" fillId="0" borderId="7" xfId="0" applyFont="1" applyBorder="1" applyAlignment="1">
      <alignment horizontal="right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14" fontId="9" fillId="0" borderId="7" xfId="0" applyNumberFormat="1" applyFont="1" applyBorder="1" applyAlignment="1">
      <alignment vertical="center"/>
    </xf>
    <xf numFmtId="167" fontId="9" fillId="0" borderId="1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0" fillId="0" borderId="0" xfId="1" applyAlignment="1">
      <alignment horizontal="center" vertic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2" fillId="4" borderId="32" xfId="0" applyFont="1" applyFill="1" applyBorder="1"/>
    <xf numFmtId="0" fontId="2" fillId="4" borderId="33" xfId="0" applyFont="1" applyFill="1" applyBorder="1"/>
    <xf numFmtId="0" fontId="2" fillId="4" borderId="34" xfId="0" applyFont="1" applyFill="1" applyBorder="1" applyAlignment="1">
      <alignment horizontal="right"/>
    </xf>
    <xf numFmtId="0" fontId="2" fillId="4" borderId="24" xfId="0" applyFont="1" applyFill="1" applyBorder="1"/>
    <xf numFmtId="0" fontId="2" fillId="4" borderId="25" xfId="0" applyFont="1" applyFill="1" applyBorder="1"/>
    <xf numFmtId="0" fontId="2" fillId="4" borderId="26" xfId="0" applyFont="1" applyFill="1" applyBorder="1"/>
    <xf numFmtId="0" fontId="2" fillId="4" borderId="27" xfId="0" applyFont="1" applyFill="1" applyBorder="1"/>
    <xf numFmtId="0" fontId="2" fillId="4" borderId="0" xfId="0" applyFont="1" applyFill="1"/>
    <xf numFmtId="0" fontId="2" fillId="4" borderId="28" xfId="0" applyFont="1" applyFill="1" applyBorder="1"/>
    <xf numFmtId="0" fontId="2" fillId="4" borderId="29" xfId="0" applyFont="1" applyFill="1" applyBorder="1"/>
    <xf numFmtId="0" fontId="2" fillId="4" borderId="30" xfId="0" applyFont="1" applyFill="1" applyBorder="1"/>
    <xf numFmtId="0" fontId="2" fillId="4" borderId="31" xfId="0" applyFont="1" applyFill="1" applyBorder="1"/>
    <xf numFmtId="0" fontId="5" fillId="3" borderId="35" xfId="0" applyFont="1" applyFill="1" applyBorder="1" applyAlignment="1">
      <alignment horizontal="center"/>
    </xf>
    <xf numFmtId="164" fontId="13" fillId="5" borderId="12" xfId="0" applyNumberFormat="1" applyFont="1" applyFill="1" applyBorder="1"/>
    <xf numFmtId="0" fontId="13" fillId="5" borderId="13" xfId="0" applyFont="1" applyFill="1" applyBorder="1" applyAlignment="1">
      <alignment horizontal="center"/>
    </xf>
    <xf numFmtId="164" fontId="13" fillId="5" borderId="14" xfId="0" applyNumberFormat="1" applyFont="1" applyFill="1" applyBorder="1"/>
    <xf numFmtId="164" fontId="12" fillId="5" borderId="15" xfId="0" applyNumberFormat="1" applyFont="1" applyFill="1" applyBorder="1" applyAlignment="1">
      <alignment horizontal="center"/>
    </xf>
    <xf numFmtId="164" fontId="12" fillId="5" borderId="16" xfId="0" applyNumberFormat="1" applyFont="1" applyFill="1" applyBorder="1" applyAlignment="1">
      <alignment horizontal="center"/>
    </xf>
    <xf numFmtId="164" fontId="12" fillId="5" borderId="17" xfId="0" applyNumberFormat="1" applyFont="1" applyFill="1" applyBorder="1" applyAlignment="1">
      <alignment horizontal="center"/>
    </xf>
    <xf numFmtId="0" fontId="14" fillId="5" borderId="0" xfId="0" applyFont="1" applyFill="1"/>
    <xf numFmtId="0" fontId="11" fillId="0" borderId="24" xfId="0" applyFont="1" applyBorder="1"/>
    <xf numFmtId="0" fontId="11" fillId="0" borderId="25" xfId="0" applyFont="1" applyBorder="1"/>
    <xf numFmtId="165" fontId="11" fillId="0" borderId="25" xfId="0" applyNumberFormat="1" applyFont="1" applyBorder="1"/>
    <xf numFmtId="165" fontId="11" fillId="0" borderId="26" xfId="0" applyNumberFormat="1" applyFont="1" applyBorder="1"/>
    <xf numFmtId="0" fontId="12" fillId="5" borderId="38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2" borderId="4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166" fontId="4" fillId="2" borderId="4" xfId="0" applyNumberFormat="1" applyFont="1" applyFill="1" applyBorder="1" applyAlignment="1">
      <alignment horizontal="center" vertical="center"/>
    </xf>
    <xf numFmtId="166" fontId="4" fillId="2" borderId="3" xfId="0" applyNumberFormat="1" applyFont="1" applyFill="1" applyBorder="1" applyAlignment="1">
      <alignment horizontal="center" vertical="center"/>
    </xf>
    <xf numFmtId="166" fontId="4" fillId="2" borderId="5" xfId="0" applyNumberFormat="1" applyFont="1" applyFill="1" applyBorder="1" applyAlignment="1">
      <alignment horizontal="center" vertical="center"/>
    </xf>
    <xf numFmtId="166" fontId="4" fillId="2" borderId="6" xfId="0" applyNumberFormat="1" applyFont="1" applyFill="1" applyBorder="1" applyAlignment="1">
      <alignment horizontal="center" vertical="center"/>
    </xf>
    <xf numFmtId="166" fontId="4" fillId="2" borderId="0" xfId="0" applyNumberFormat="1" applyFont="1" applyFill="1" applyAlignment="1">
      <alignment horizontal="center" vertical="center"/>
    </xf>
    <xf numFmtId="166" fontId="4" fillId="2" borderId="7" xfId="0" applyNumberFormat="1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7" xfId="0" applyFont="1" applyBorder="1" applyAlignment="1">
      <alignment horizontal="center"/>
    </xf>
    <xf numFmtId="14" fontId="4" fillId="2" borderId="8" xfId="0" applyNumberFormat="1" applyFont="1" applyFill="1" applyBorder="1" applyAlignment="1">
      <alignment horizontal="center" vertical="center"/>
    </xf>
    <xf numFmtId="14" fontId="4" fillId="2" borderId="2" xfId="0" applyNumberFormat="1" applyFont="1" applyFill="1" applyBorder="1" applyAlignment="1">
      <alignment horizontal="center" vertical="center"/>
    </xf>
    <xf numFmtId="14" fontId="4" fillId="2" borderId="9" xfId="0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167" fontId="1" fillId="0" borderId="6" xfId="0" applyNumberFormat="1" applyFont="1" applyBorder="1" applyAlignment="1">
      <alignment horizontal="center"/>
    </xf>
    <xf numFmtId="167" fontId="1" fillId="0" borderId="7" xfId="0" applyNumberFormat="1" applyFont="1" applyBorder="1" applyAlignment="1">
      <alignment horizontal="center"/>
    </xf>
    <xf numFmtId="0" fontId="13" fillId="5" borderId="24" xfId="0" applyFont="1" applyFill="1" applyBorder="1" applyAlignment="1">
      <alignment horizontal="center" vertical="center"/>
    </xf>
    <xf numFmtId="0" fontId="13" fillId="5" borderId="26" xfId="0" applyFont="1" applyFill="1" applyBorder="1" applyAlignment="1">
      <alignment horizontal="center" vertical="center"/>
    </xf>
    <xf numFmtId="0" fontId="13" fillId="5" borderId="27" xfId="0" applyFont="1" applyFill="1" applyBorder="1" applyAlignment="1">
      <alignment horizontal="center" vertical="center"/>
    </xf>
    <xf numFmtId="0" fontId="13" fillId="5" borderId="28" xfId="0" applyFont="1" applyFill="1" applyBorder="1" applyAlignment="1">
      <alignment horizontal="center" vertical="center"/>
    </xf>
    <xf numFmtId="0" fontId="13" fillId="5" borderId="29" xfId="0" applyFont="1" applyFill="1" applyBorder="1" applyAlignment="1">
      <alignment horizontal="center" vertical="center"/>
    </xf>
    <xf numFmtId="0" fontId="13" fillId="5" borderId="31" xfId="0" applyFont="1" applyFill="1" applyBorder="1" applyAlignment="1">
      <alignment horizontal="center" vertical="center"/>
    </xf>
    <xf numFmtId="0" fontId="4" fillId="4" borderId="36" xfId="0" applyFont="1" applyFill="1" applyBorder="1" applyAlignment="1">
      <alignment horizontal="center" vertical="center"/>
    </xf>
    <xf numFmtId="0" fontId="4" fillId="4" borderId="37" xfId="0" applyFont="1" applyFill="1" applyBorder="1" applyAlignment="1">
      <alignment horizontal="center" vertical="center"/>
    </xf>
    <xf numFmtId="0" fontId="12" fillId="3" borderId="32" xfId="0" applyFont="1" applyFill="1" applyBorder="1" applyAlignment="1">
      <alignment horizontal="center"/>
    </xf>
    <xf numFmtId="0" fontId="12" fillId="3" borderId="33" xfId="0" applyFont="1" applyFill="1" applyBorder="1" applyAlignment="1">
      <alignment horizontal="center"/>
    </xf>
    <xf numFmtId="0" fontId="12" fillId="3" borderId="34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6">
    <dxf>
      <fill>
        <patternFill>
          <bgColor rgb="FFFF7575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fgColor theme="0"/>
          <bgColor theme="1" tint="0.24994659260841701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</dxf>
  </dxfs>
  <tableStyles count="0" defaultTableStyle="TableStyleMedium2" defaultPivotStyle="PivotStyleLight16"/>
  <colors>
    <mruColors>
      <color rgb="FFFF75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22860</xdr:colOff>
      <xdr:row>2</xdr:row>
      <xdr:rowOff>22860</xdr:rowOff>
    </xdr:from>
    <xdr:to>
      <xdr:col>7</xdr:col>
      <xdr:colOff>861060</xdr:colOff>
      <xdr:row>5</xdr:row>
      <xdr:rowOff>60960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B33C5102-E322-3A89-2BE0-57669D84CC48}"/>
            </a:ext>
          </a:extLst>
        </xdr:cNvPr>
        <xdr:cNvGrpSpPr/>
      </xdr:nvGrpSpPr>
      <xdr:grpSpPr>
        <a:xfrm>
          <a:off x="9732917" y="392974"/>
          <a:ext cx="1883229" cy="593272"/>
          <a:chOff x="8090528" y="384810"/>
          <a:chExt cx="1885949" cy="5810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  <a:ext uri="{FF2B5EF4-FFF2-40B4-BE49-F238E27FC236}">
                    <a16:creationId xmlns:a16="http://schemas.microsoft.com/office/drawing/2014/main" id="{00000000-0008-0000-0000-000001080000}"/>
                  </a:ext>
                </a:extLst>
              </xdr:cNvPr>
              <xdr:cNvSpPr/>
            </xdr:nvSpPr>
            <xdr:spPr bwMode="auto">
              <a:xfrm>
                <a:off x="8090528" y="384810"/>
                <a:ext cx="1885949" cy="581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80000" tIns="0" rIns="0" bIns="0" anchor="ctr" upright="1"/>
              <a:lstStyle/>
              <a:p>
                <a:pPr algn="l" rtl="0">
                  <a:defRPr sz="1000"/>
                </a:pPr>
                <a:r>
                  <a:rPr lang="en-IN"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Save As PDF</a:t>
                </a:r>
              </a:p>
            </xdr:txBody>
          </xdr:sp>
        </mc:Choice>
        <mc:Fallback/>
      </mc:AlternateContent>
      <xdr:pic>
        <xdr:nvPicPr>
          <xdr:cNvPr id="3" name="Graphic 2" descr="Download from cloud">
            <a:extLst>
              <a:ext uri="{FF2B5EF4-FFF2-40B4-BE49-F238E27FC236}">
                <a16:creationId xmlns:a16="http://schemas.microsoft.com/office/drawing/2014/main" id="{2600167E-13CD-BF06-5779-B6CC47327A1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9267825" y="409575"/>
            <a:ext cx="542925" cy="54292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45720</xdr:colOff>
      <xdr:row>2</xdr:row>
      <xdr:rowOff>15240</xdr:rowOff>
    </xdr:from>
    <xdr:to>
      <xdr:col>36</xdr:col>
      <xdr:colOff>678180</xdr:colOff>
      <xdr:row>4</xdr:row>
      <xdr:rowOff>45720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76275277-716D-2617-2ADF-6019C3CD2612}"/>
            </a:ext>
          </a:extLst>
        </xdr:cNvPr>
        <xdr:cNvGrpSpPr/>
      </xdr:nvGrpSpPr>
      <xdr:grpSpPr>
        <a:xfrm>
          <a:off x="10005060" y="434340"/>
          <a:ext cx="1546860" cy="403860"/>
          <a:chOff x="9692640" y="426720"/>
          <a:chExt cx="1546860" cy="39624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Button 12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200-00000C040000}"/>
                  </a:ext>
                </a:extLst>
              </xdr:cNvPr>
              <xdr:cNvSpPr/>
            </xdr:nvSpPr>
            <xdr:spPr bwMode="auto">
              <a:xfrm>
                <a:off x="9692640" y="426720"/>
                <a:ext cx="1546860" cy="3962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80000" tIns="46800" rIns="90000" bIns="46800" anchor="ctr" upright="1"/>
              <a:lstStyle/>
              <a:p>
                <a:pPr algn="l" rtl="0">
                  <a:defRPr sz="1000"/>
                </a:pPr>
                <a:r>
                  <a:rPr lang="en-IN"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Clear All</a:t>
                </a:r>
              </a:p>
            </xdr:txBody>
          </xdr:sp>
        </mc:Choice>
        <mc:Fallback/>
      </mc:AlternateContent>
      <xdr:pic>
        <xdr:nvPicPr>
          <xdr:cNvPr id="3" name="Graphic 2" descr="Eraser">
            <a:extLst>
              <a:ext uri="{FF2B5EF4-FFF2-40B4-BE49-F238E27FC236}">
                <a16:creationId xmlns:a16="http://schemas.microsoft.com/office/drawing/2014/main" id="{1604D960-995A-5AFD-FD59-CFF01EC1863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553700" y="441960"/>
            <a:ext cx="518160" cy="37338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EA2202-792E-4987-99C7-DD74A21AC943}" name="Employee_Info" displayName="Employee_Info" ref="A1:Q4" totalsRowShown="0" headerRowDxfId="5">
  <autoFilter ref="A1:Q4" xr:uid="{05EA2202-792E-4987-99C7-DD74A21AC943}"/>
  <tableColumns count="17">
    <tableColumn id="1" xr3:uid="{03F16886-10A7-4EFC-ABA8-378F503524FB}" name="Emp_ID"/>
    <tableColumn id="2" xr3:uid="{60FF0779-00C2-4FB5-90EF-0FDE49D556DC}" name="Employee_Name "/>
    <tableColumn id="3" xr3:uid="{7A73EB5E-D74E-42B2-A161-723B8A0C0479}" name="Designation"/>
    <tableColumn id="4" xr3:uid="{675F93DA-EBFA-40F9-A82C-1DFCC258C1AC}" name="Date of Joining"/>
    <tableColumn id="5" xr3:uid="{D0E3CF68-E3B4-475D-AE33-B1E67B5A16B8}" name="Paid_days"/>
    <tableColumn id="6" xr3:uid="{3C0D2387-BEBC-4954-8728-F8CA2DB1015C}" name="PF A/C Number "/>
    <tableColumn id="7" xr3:uid="{5D3A9E6C-8B48-40DC-BEFC-A7B610D780AD}" name="LWP Days "/>
    <tableColumn id="8" xr3:uid="{167C8D29-8DDA-4ADA-B5BA-48E72DF03F8C}" name="UAN"/>
    <tableColumn id="9" xr3:uid="{4DD8EEA8-DE90-453D-97BC-ED524C316F24}" name="Provident Fund "/>
    <tableColumn id="10" xr3:uid="{5B558EA1-B7AD-45A5-9270-6FF74AF0AD7E}" name="Basic "/>
    <tableColumn id="11" xr3:uid="{4A2034A6-FCCF-4665-9E32-8E0BDD8A58B8}" name="House Rent Allowance "/>
    <tableColumn id="12" xr3:uid="{7774FA29-6DC9-4EA9-8DF0-A925E9E7E643}" name="Conveyance Allowance "/>
    <tableColumn id="13" xr3:uid="{2EA89C40-2C68-4558-B1BF-0A64CA18C636}" name="Children Education Allowance "/>
    <tableColumn id="14" xr3:uid="{C9DAA9FB-CC93-4A3E-9D96-D06D0EE76563}" name="Fixed Allowance "/>
    <tableColumn id="15" xr3:uid="{0D8DE8E3-8142-4077-8202-5D8B9B2DE90C}" name="Gross Earnings ">
      <calculatedColumnFormula>SUM(Employee_Info[[#This Row],[Basic ]:[Fixed Allowance ]])</calculatedColumnFormula>
    </tableColumn>
    <tableColumn id="16" xr3:uid="{147FEEDE-E18F-418C-8CA7-732A97876571}" name="EPF Contribution"/>
    <tableColumn id="17" xr3:uid="{6C9447AB-A835-4E3B-981F-617D378046A1}" name="Professional Tax ">
      <calculatedColumnFormula>30%*Employee_Info[[#This Row],[Gross Earnings ]]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file:///C:\Users\ACER\OneDrive\Desktop\PaySlip%20PDF\1%20-%20Pankaj%20Bisht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2060"/>
    <pageSetUpPr fitToPage="1"/>
  </sheetPr>
  <dimension ref="B2:E23"/>
  <sheetViews>
    <sheetView showGridLines="0" topLeftCell="A4" zoomScale="70" zoomScaleNormal="70" workbookViewId="0">
      <selection activeCell="C8" sqref="C8"/>
    </sheetView>
  </sheetViews>
  <sheetFormatPr defaultColWidth="15.21875" defaultRowHeight="14.4" x14ac:dyDescent="0.3"/>
  <cols>
    <col min="2" max="5" width="27.77734375" customWidth="1"/>
  </cols>
  <sheetData>
    <row r="2" spans="2:5" x14ac:dyDescent="0.3">
      <c r="B2" s="69" t="s">
        <v>0</v>
      </c>
      <c r="C2" s="70"/>
      <c r="D2" s="70"/>
      <c r="E2" s="71"/>
    </row>
    <row r="3" spans="2:5" ht="14.4" customHeight="1" x14ac:dyDescent="0.3">
      <c r="B3" s="72"/>
      <c r="C3" s="73"/>
      <c r="D3" s="73"/>
      <c r="E3" s="74"/>
    </row>
    <row r="4" spans="2:5" ht="14.4" customHeight="1" x14ac:dyDescent="0.3">
      <c r="B4" s="72"/>
      <c r="C4" s="73"/>
      <c r="D4" s="73"/>
      <c r="E4" s="74"/>
    </row>
    <row r="5" spans="2:5" x14ac:dyDescent="0.3">
      <c r="B5" s="81" t="s">
        <v>6</v>
      </c>
      <c r="C5" s="82"/>
      <c r="D5" s="82"/>
      <c r="E5" s="83"/>
    </row>
    <row r="6" spans="2:5" ht="25.05" customHeight="1" x14ac:dyDescent="0.3">
      <c r="B6" s="84" t="str">
        <f ca="1">"Payslip for the month of "&amp;TEXT(TODAY(),"mmmm yyyy")</f>
        <v>Payslip for the month of July 2024</v>
      </c>
      <c r="C6" s="85"/>
      <c r="D6" s="85"/>
      <c r="E6" s="86"/>
    </row>
    <row r="7" spans="2:5" ht="25.05" customHeight="1" x14ac:dyDescent="0.3">
      <c r="B7" s="21" t="s">
        <v>7</v>
      </c>
      <c r="C7" s="16"/>
      <c r="D7" s="7"/>
      <c r="E7" s="2"/>
    </row>
    <row r="8" spans="2:5" ht="25.05" customHeight="1" x14ac:dyDescent="0.3">
      <c r="B8" s="17" t="s">
        <v>68</v>
      </c>
      <c r="C8" s="18">
        <v>1</v>
      </c>
      <c r="D8" s="3"/>
      <c r="E8" s="5"/>
    </row>
    <row r="9" spans="2:5" ht="25.05" customHeight="1" x14ac:dyDescent="0.3">
      <c r="B9" s="17" t="s">
        <v>1</v>
      </c>
      <c r="C9" s="22" t="str">
        <f>VLOOKUP($C$8,Emp_database!$1:$1048576,2,FALSE)</f>
        <v>Pankaj Bisht</v>
      </c>
      <c r="D9" s="87" t="s">
        <v>28</v>
      </c>
      <c r="E9" s="88"/>
    </row>
    <row r="10" spans="2:5" ht="25.05" customHeight="1" x14ac:dyDescent="0.5">
      <c r="B10" s="17" t="s">
        <v>2</v>
      </c>
      <c r="C10" s="22" t="str">
        <f>VLOOKUP($C$8,Emp_database!$1:$1048576,3,FALSE)</f>
        <v xml:space="preserve">Finance </v>
      </c>
      <c r="D10" s="89">
        <f>$C$20-$E$20</f>
        <v>3840</v>
      </c>
      <c r="E10" s="90"/>
    </row>
    <row r="11" spans="2:5" ht="25.05" customHeight="1" x14ac:dyDescent="0.3">
      <c r="B11" s="17" t="s">
        <v>8</v>
      </c>
      <c r="C11" s="27">
        <f>VLOOKUP($C$8,Emp_database!$1:$1048576,4,FALSE)</f>
        <v>45496</v>
      </c>
      <c r="D11" s="87" t="str">
        <f>"Paid Days : " &amp; VLOOKUP($C$8,Emp_database!$1:$1048576,5,FALSE) &amp;" | "&amp;"LWP Days :"&amp; VLOOKUP($C$8,Emp_database!$1:$1048576,7,FALSE)</f>
        <v>Paid Days : 0 | LWP Days :0</v>
      </c>
      <c r="E11" s="88"/>
    </row>
    <row r="12" spans="2:5" ht="25.05" customHeight="1" x14ac:dyDescent="0.3">
      <c r="B12" s="17" t="s">
        <v>10</v>
      </c>
      <c r="C12" s="18">
        <f>VLOOKUP($C$8,Emp_database!$1:$1048576,8,FALSE)</f>
        <v>157896</v>
      </c>
      <c r="D12" s="3"/>
      <c r="E12" s="5"/>
    </row>
    <row r="13" spans="2:5" ht="25.05" customHeight="1" x14ac:dyDescent="0.3">
      <c r="B13" s="19" t="s">
        <v>69</v>
      </c>
      <c r="C13" s="20">
        <f>VLOOKUP($C$8,Emp_database!$1:$1048576,6,FALSE)</f>
        <v>56982</v>
      </c>
      <c r="D13" s="4"/>
      <c r="E13" s="6"/>
    </row>
    <row r="14" spans="2:5" ht="25.05" customHeight="1" x14ac:dyDescent="0.3">
      <c r="B14" s="23" t="s">
        <v>11</v>
      </c>
      <c r="C14" s="24" t="s">
        <v>12</v>
      </c>
      <c r="D14" s="23" t="s">
        <v>13</v>
      </c>
      <c r="E14" s="25" t="s">
        <v>14</v>
      </c>
    </row>
    <row r="15" spans="2:5" ht="25.05" customHeight="1" x14ac:dyDescent="0.3">
      <c r="B15" s="26" t="s">
        <v>15</v>
      </c>
      <c r="C15" s="28">
        <f>VLOOKUP($C$8,Emp_database!$1:$1048576,10,FALSE)</f>
        <v>10000</v>
      </c>
      <c r="D15" s="26" t="s">
        <v>22</v>
      </c>
      <c r="E15" s="28">
        <f>VLOOKUP($C$8,Emp_database!$1:$1048576,9,FALSE)</f>
        <v>4000</v>
      </c>
    </row>
    <row r="16" spans="2:5" ht="25.05" customHeight="1" x14ac:dyDescent="0.3">
      <c r="B16" s="26" t="s">
        <v>16</v>
      </c>
      <c r="C16" s="28">
        <f>VLOOKUP($C$8,Emp_database!$1:$1048576,11,FALSE)</f>
        <v>1000</v>
      </c>
      <c r="D16" s="26" t="s">
        <v>23</v>
      </c>
      <c r="E16" s="28">
        <f>VLOOKUP($C$8,Emp_database!$1:$1048576,17,FALSE)</f>
        <v>3360</v>
      </c>
    </row>
    <row r="17" spans="2:5" ht="25.05" customHeight="1" x14ac:dyDescent="0.3">
      <c r="B17" s="26" t="s">
        <v>17</v>
      </c>
      <c r="C17" s="28">
        <f>VLOOKUP($C$8,Emp_database!$1:$1048576,12,FALSE)</f>
        <v>100</v>
      </c>
      <c r="D17" s="26"/>
      <c r="E17" s="28"/>
    </row>
    <row r="18" spans="2:5" ht="25.05" customHeight="1" x14ac:dyDescent="0.3">
      <c r="B18" s="26" t="s">
        <v>18</v>
      </c>
      <c r="C18" s="28">
        <f>VLOOKUP($C$8,Emp_database!$1:$1048576,13,FALSE)</f>
        <v>100</v>
      </c>
      <c r="D18" s="26"/>
      <c r="E18" s="28"/>
    </row>
    <row r="19" spans="2:5" ht="25.05" customHeight="1" x14ac:dyDescent="0.3">
      <c r="B19" s="26" t="s">
        <v>19</v>
      </c>
      <c r="C19" s="28">
        <f>VLOOKUP($C$8,Emp_database!$1:$1048576,14,FALSE)</f>
        <v>0</v>
      </c>
      <c r="D19" s="26"/>
      <c r="E19" s="28"/>
    </row>
    <row r="20" spans="2:5" ht="25.05" customHeight="1" x14ac:dyDescent="0.3">
      <c r="B20" s="26" t="s">
        <v>20</v>
      </c>
      <c r="C20" s="28">
        <f>SUM(C15:C19)</f>
        <v>11200</v>
      </c>
      <c r="D20" s="26" t="s">
        <v>21</v>
      </c>
      <c r="E20" s="28">
        <f>SUM(E15:E19)</f>
        <v>7360</v>
      </c>
    </row>
    <row r="21" spans="2:5" x14ac:dyDescent="0.3">
      <c r="B21" s="75" t="str">
        <f>"Total Net Payable "&amp;(C20-E20)&amp;" Indian Rupee Only "&amp;
"**Total Net Payable = Gross Earnings - Total Deductions"</f>
        <v>Total Net Payable 3840 Indian Rupee Only **Total Net Payable = Gross Earnings - Total Deductions</v>
      </c>
      <c r="C21" s="76"/>
      <c r="D21" s="76"/>
      <c r="E21" s="77"/>
    </row>
    <row r="22" spans="2:5" x14ac:dyDescent="0.3">
      <c r="B22" s="78"/>
      <c r="C22" s="79"/>
      <c r="D22" s="79"/>
      <c r="E22" s="80"/>
    </row>
    <row r="23" spans="2:5" x14ac:dyDescent="0.3">
      <c r="B23" s="4"/>
      <c r="C23" s="8"/>
      <c r="D23" s="8"/>
      <c r="E23" s="6"/>
    </row>
  </sheetData>
  <mergeCells count="7">
    <mergeCell ref="B2:E4"/>
    <mergeCell ref="B21:E22"/>
    <mergeCell ref="B5:E5"/>
    <mergeCell ref="B6:E6"/>
    <mergeCell ref="D9:E9"/>
    <mergeCell ref="D10:E10"/>
    <mergeCell ref="D11:E11"/>
  </mergeCells>
  <dataValidations count="1">
    <dataValidation type="list" allowBlank="1" showInputMessage="1" showErrorMessage="1" sqref="C8" xr:uid="{9009DDD1-271F-47A7-81C0-A892FF6CD6D7}">
      <formula1>Emp_ID</formula1>
    </dataValidation>
  </dataValidations>
  <printOptions horizontalCentered="1"/>
  <pageMargins left="0.19685039370078741" right="0.19685039370078741" top="0.74803149606299213" bottom="0.74803149606299213" header="0.31496062992125984" footer="0.31496062992125984"/>
  <pageSetup paperSize="9" scale="9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autoFill="0" autoPict="0" macro="[0]!Save_PDF">
                <anchor moveWithCells="1" sizeWithCells="1">
                  <from>
                    <xdr:col>6</xdr:col>
                    <xdr:colOff>22860</xdr:colOff>
                    <xdr:row>2</xdr:row>
                    <xdr:rowOff>22860</xdr:rowOff>
                  </from>
                  <to>
                    <xdr:col>7</xdr:col>
                    <xdr:colOff>861060</xdr:colOff>
                    <xdr:row>5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93670-8BAE-4B81-B964-B63651A4C49F}">
  <sheetPr codeName="Sheet2"/>
  <dimension ref="A1:Q4"/>
  <sheetViews>
    <sheetView topLeftCell="F1" workbookViewId="0">
      <selection activeCell="B3" sqref="B3"/>
    </sheetView>
  </sheetViews>
  <sheetFormatPr defaultRowHeight="14.4" x14ac:dyDescent="0.3"/>
  <cols>
    <col min="1" max="1" width="10.44140625" bestFit="1" customWidth="1"/>
    <col min="2" max="2" width="19.6640625" bestFit="1" customWidth="1"/>
    <col min="3" max="3" width="14.33203125" bestFit="1" customWidth="1"/>
    <col min="4" max="4" width="17.33203125" bestFit="1" customWidth="1"/>
    <col min="5" max="5" width="12.6640625" bestFit="1" customWidth="1"/>
    <col min="6" max="6" width="18.33203125" bestFit="1" customWidth="1"/>
    <col min="7" max="7" width="12.88671875" bestFit="1" customWidth="1"/>
    <col min="8" max="8" width="7.44140625" bestFit="1" customWidth="1"/>
    <col min="9" max="9" width="18.21875" bestFit="1" customWidth="1"/>
    <col min="10" max="10" width="8.44140625" bestFit="1" customWidth="1"/>
    <col min="11" max="11" width="25.109375" bestFit="1" customWidth="1"/>
    <col min="12" max="12" width="25.44140625" bestFit="1" customWidth="1"/>
    <col min="13" max="13" width="32.33203125" bestFit="1" customWidth="1"/>
    <col min="14" max="14" width="19" bestFit="1" customWidth="1"/>
    <col min="15" max="15" width="17.5546875" bestFit="1" customWidth="1"/>
    <col min="16" max="16" width="19.21875" bestFit="1" customWidth="1"/>
    <col min="17" max="17" width="19.109375" bestFit="1" customWidth="1"/>
  </cols>
  <sheetData>
    <row r="1" spans="1:17" ht="15.6" x14ac:dyDescent="0.3">
      <c r="A1" s="62" t="s">
        <v>3</v>
      </c>
      <c r="B1" s="62" t="s">
        <v>4</v>
      </c>
      <c r="C1" s="62" t="s">
        <v>2</v>
      </c>
      <c r="D1" s="62" t="s">
        <v>8</v>
      </c>
      <c r="E1" s="62" t="s">
        <v>24</v>
      </c>
      <c r="F1" s="62" t="s">
        <v>9</v>
      </c>
      <c r="G1" s="62" t="s">
        <v>67</v>
      </c>
      <c r="H1" s="62" t="s">
        <v>10</v>
      </c>
      <c r="I1" s="62" t="s">
        <v>5</v>
      </c>
      <c r="J1" s="62" t="s">
        <v>15</v>
      </c>
      <c r="K1" s="62" t="s">
        <v>16</v>
      </c>
      <c r="L1" s="62" t="s">
        <v>17</v>
      </c>
      <c r="M1" s="62" t="s">
        <v>18</v>
      </c>
      <c r="N1" s="62" t="s">
        <v>19</v>
      </c>
      <c r="O1" s="62" t="s">
        <v>20</v>
      </c>
      <c r="P1" s="62" t="s">
        <v>22</v>
      </c>
      <c r="Q1" s="62" t="s">
        <v>23</v>
      </c>
    </row>
    <row r="2" spans="1:17" x14ac:dyDescent="0.3">
      <c r="A2">
        <v>1</v>
      </c>
      <c r="B2" t="s">
        <v>25</v>
      </c>
      <c r="C2" t="s">
        <v>27</v>
      </c>
      <c r="D2" s="1">
        <v>45496</v>
      </c>
      <c r="E2">
        <f>(Attendance!AL7/2)+Attendance!AK7+Attendance!AM7</f>
        <v>0</v>
      </c>
      <c r="F2">
        <v>56982</v>
      </c>
      <c r="G2">
        <f>Attendance!AJ7</f>
        <v>0</v>
      </c>
      <c r="H2">
        <v>157896</v>
      </c>
      <c r="I2">
        <v>4000</v>
      </c>
      <c r="J2">
        <v>10000</v>
      </c>
      <c r="K2">
        <v>1000</v>
      </c>
      <c r="L2">
        <v>100</v>
      </c>
      <c r="M2">
        <v>100</v>
      </c>
      <c r="N2">
        <v>0</v>
      </c>
      <c r="O2">
        <f>SUM(Employee_Info[[#This Row],[Basic ]:[Fixed Allowance ]])</f>
        <v>11200</v>
      </c>
      <c r="P2">
        <v>200</v>
      </c>
      <c r="Q2">
        <f>30%*Employee_Info[[#This Row],[Gross Earnings ]]</f>
        <v>3360</v>
      </c>
    </row>
    <row r="3" spans="1:17" x14ac:dyDescent="0.3">
      <c r="A3">
        <v>2</v>
      </c>
      <c r="B3" t="s">
        <v>26</v>
      </c>
      <c r="C3" t="s">
        <v>27</v>
      </c>
      <c r="D3" s="1">
        <v>45496</v>
      </c>
      <c r="E3">
        <f>(Attendance!AL8/2)+Attendance!AK8+Attendance!AM8</f>
        <v>0</v>
      </c>
      <c r="F3">
        <v>25</v>
      </c>
      <c r="G3">
        <f>Attendance!AJ8</f>
        <v>0</v>
      </c>
      <c r="H3">
        <v>157896</v>
      </c>
      <c r="I3">
        <v>4000</v>
      </c>
      <c r="J3">
        <v>10000</v>
      </c>
      <c r="K3">
        <v>1000</v>
      </c>
      <c r="L3">
        <v>100</v>
      </c>
      <c r="M3">
        <v>100</v>
      </c>
      <c r="N3">
        <v>0</v>
      </c>
      <c r="O3">
        <f>SUM(Employee_Info[[#This Row],[Basic ]:[Fixed Allowance ]])</f>
        <v>11200</v>
      </c>
      <c r="P3">
        <v>200</v>
      </c>
      <c r="Q3">
        <f>30%*Employee_Info[[#This Row],[Gross Earnings ]]</f>
        <v>3360</v>
      </c>
    </row>
    <row r="4" spans="1:17" x14ac:dyDescent="0.3">
      <c r="A4">
        <v>3</v>
      </c>
      <c r="O4">
        <f>SUM(Employee_Info[[#This Row],[Basic ]:[Fixed Allowance ]])</f>
        <v>0</v>
      </c>
      <c r="Q4">
        <f>30%*Employee_Info[[#This Row],[Gross Earnings ]]</f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AD733-C389-49EC-8765-0104A611ADDC}">
  <sheetPr codeName="Sheet3"/>
  <dimension ref="B1:AR40"/>
  <sheetViews>
    <sheetView showGridLines="0" topLeftCell="A4" workbookViewId="0">
      <selection activeCell="E2" sqref="E2"/>
    </sheetView>
  </sheetViews>
  <sheetFormatPr defaultRowHeight="14.4" x14ac:dyDescent="0.3"/>
  <cols>
    <col min="1" max="1" width="1.88671875" customWidth="1"/>
    <col min="2" max="2" width="15.109375" bestFit="1" customWidth="1"/>
    <col min="3" max="3" width="3.109375" bestFit="1" customWidth="1"/>
    <col min="4" max="4" width="15.109375" bestFit="1" customWidth="1"/>
    <col min="5" max="5" width="1.88671875" customWidth="1"/>
    <col min="7" max="7" width="10.77734375" bestFit="1" customWidth="1"/>
    <col min="8" max="8" width="5.88671875" bestFit="1" customWidth="1"/>
    <col min="9" max="33" width="3.21875" bestFit="1" customWidth="1"/>
    <col min="34" max="34" width="1.88671875" customWidth="1"/>
    <col min="35" max="35" width="0.109375" customWidth="1"/>
    <col min="36" max="36" width="13.33203125" customWidth="1"/>
    <col min="37" max="44" width="14.21875" bestFit="1" customWidth="1"/>
  </cols>
  <sheetData>
    <row r="1" spans="2:44" ht="18.600000000000001" thickBot="1" x14ac:dyDescent="0.4">
      <c r="B1" s="56">
        <f>DATEVALUE("1"&amp;D8&amp;D10)</f>
        <v>45474</v>
      </c>
      <c r="C1" s="57" t="s">
        <v>53</v>
      </c>
      <c r="D1" s="58">
        <f>EOMONTH(B1,0)</f>
        <v>45504</v>
      </c>
      <c r="F1" s="15"/>
      <c r="G1" s="15" t="s">
        <v>61</v>
      </c>
      <c r="H1" s="15" t="str">
        <f ca="1">IF(H$6=TODAY(),COUNTIF(H7:H40,"p"),"")</f>
        <v/>
      </c>
      <c r="I1" s="15" t="str">
        <f t="shared" ref="I1:AH1" ca="1" si="0">IF(I$6=TODAY(),COUNTIF(I7:I40,"p"),"")</f>
        <v/>
      </c>
      <c r="J1" s="15" t="str">
        <f t="shared" ca="1" si="0"/>
        <v/>
      </c>
      <c r="K1" s="15" t="str">
        <f t="shared" ca="1" si="0"/>
        <v/>
      </c>
      <c r="L1" s="15" t="str">
        <f t="shared" ca="1" si="0"/>
        <v/>
      </c>
      <c r="M1" s="15" t="str">
        <f t="shared" ca="1" si="0"/>
        <v/>
      </c>
      <c r="N1" s="15" t="str">
        <f t="shared" ca="1" si="0"/>
        <v/>
      </c>
      <c r="O1" s="15" t="str">
        <f t="shared" ca="1" si="0"/>
        <v/>
      </c>
      <c r="P1" s="15" t="str">
        <f t="shared" ca="1" si="0"/>
        <v/>
      </c>
      <c r="Q1" s="15" t="str">
        <f t="shared" ca="1" si="0"/>
        <v/>
      </c>
      <c r="R1" s="15" t="str">
        <f t="shared" ca="1" si="0"/>
        <v/>
      </c>
      <c r="S1" s="15" t="str">
        <f t="shared" ca="1" si="0"/>
        <v/>
      </c>
      <c r="T1" s="15" t="str">
        <f t="shared" ca="1" si="0"/>
        <v/>
      </c>
      <c r="U1" s="15" t="str">
        <f t="shared" ca="1" si="0"/>
        <v/>
      </c>
      <c r="V1" s="15" t="str">
        <f t="shared" ca="1" si="0"/>
        <v/>
      </c>
      <c r="W1" s="15" t="str">
        <f t="shared" ca="1" si="0"/>
        <v/>
      </c>
      <c r="X1" s="15" t="str">
        <f t="shared" ca="1" si="0"/>
        <v/>
      </c>
      <c r="Y1" s="15" t="str">
        <f t="shared" ca="1" si="0"/>
        <v/>
      </c>
      <c r="Z1" s="15" t="str">
        <f t="shared" ca="1" si="0"/>
        <v/>
      </c>
      <c r="AA1" s="15" t="str">
        <f t="shared" ca="1" si="0"/>
        <v/>
      </c>
      <c r="AB1" s="15" t="str">
        <f t="shared" ca="1" si="0"/>
        <v/>
      </c>
      <c r="AC1" s="15" t="str">
        <f t="shared" ca="1" si="0"/>
        <v/>
      </c>
      <c r="AD1" s="15" t="str">
        <f t="shared" ca="1" si="0"/>
        <v/>
      </c>
      <c r="AE1" s="15">
        <f t="shared" ca="1" si="0"/>
        <v>0</v>
      </c>
      <c r="AF1" s="15" t="str">
        <f t="shared" ca="1" si="0"/>
        <v/>
      </c>
      <c r="AG1" s="15" t="str">
        <f t="shared" ca="1" si="0"/>
        <v/>
      </c>
      <c r="AH1" s="15" t="str">
        <f t="shared" ca="1" si="0"/>
        <v/>
      </c>
    </row>
    <row r="2" spans="2:44" x14ac:dyDescent="0.3">
      <c r="B2" s="68" t="str">
        <f>TEXT(B1,"DDDD")</f>
        <v>Monday</v>
      </c>
      <c r="F2" s="15"/>
      <c r="G2" s="15" t="s">
        <v>62</v>
      </c>
      <c r="H2" s="15" t="str">
        <f ca="1">IF(H$6=TODAY(),COUNTIF(H7:H40,"a"),"")</f>
        <v/>
      </c>
      <c r="I2" s="15" t="str">
        <f t="shared" ref="I2:AH2" ca="1" si="1">IF(I$6=TODAY(),COUNTIF(I7:I40,"a"),"")</f>
        <v/>
      </c>
      <c r="J2" s="15" t="str">
        <f t="shared" ca="1" si="1"/>
        <v/>
      </c>
      <c r="K2" s="15" t="str">
        <f t="shared" ca="1" si="1"/>
        <v/>
      </c>
      <c r="L2" s="15" t="str">
        <f t="shared" ca="1" si="1"/>
        <v/>
      </c>
      <c r="M2" s="15" t="str">
        <f t="shared" ca="1" si="1"/>
        <v/>
      </c>
      <c r="N2" s="15" t="str">
        <f t="shared" ca="1" si="1"/>
        <v/>
      </c>
      <c r="O2" s="15" t="str">
        <f t="shared" ca="1" si="1"/>
        <v/>
      </c>
      <c r="P2" s="15" t="str">
        <f t="shared" ca="1" si="1"/>
        <v/>
      </c>
      <c r="Q2" s="15" t="str">
        <f t="shared" ca="1" si="1"/>
        <v/>
      </c>
      <c r="R2" s="15" t="str">
        <f t="shared" ca="1" si="1"/>
        <v/>
      </c>
      <c r="S2" s="15" t="str">
        <f t="shared" ca="1" si="1"/>
        <v/>
      </c>
      <c r="T2" s="15" t="str">
        <f t="shared" ca="1" si="1"/>
        <v/>
      </c>
      <c r="U2" s="15" t="str">
        <f t="shared" ca="1" si="1"/>
        <v/>
      </c>
      <c r="V2" s="15" t="str">
        <f t="shared" ca="1" si="1"/>
        <v/>
      </c>
      <c r="W2" s="15" t="str">
        <f t="shared" ca="1" si="1"/>
        <v/>
      </c>
      <c r="X2" s="15" t="str">
        <f t="shared" ca="1" si="1"/>
        <v/>
      </c>
      <c r="Y2" s="15" t="str">
        <f t="shared" ca="1" si="1"/>
        <v/>
      </c>
      <c r="Z2" s="15" t="str">
        <f t="shared" ca="1" si="1"/>
        <v/>
      </c>
      <c r="AA2" s="15" t="str">
        <f t="shared" ca="1" si="1"/>
        <v/>
      </c>
      <c r="AB2" s="15" t="str">
        <f t="shared" ca="1" si="1"/>
        <v/>
      </c>
      <c r="AC2" s="15" t="str">
        <f t="shared" ca="1" si="1"/>
        <v/>
      </c>
      <c r="AD2" s="15" t="str">
        <f t="shared" ca="1" si="1"/>
        <v/>
      </c>
      <c r="AE2" s="15">
        <f t="shared" ca="1" si="1"/>
        <v>0</v>
      </c>
      <c r="AF2" s="15" t="str">
        <f t="shared" ca="1" si="1"/>
        <v/>
      </c>
      <c r="AG2" s="15" t="str">
        <f t="shared" ca="1" si="1"/>
        <v/>
      </c>
      <c r="AH2" s="15" t="str">
        <f t="shared" ca="1" si="1"/>
        <v/>
      </c>
      <c r="AL2" s="91" t="s">
        <v>76</v>
      </c>
      <c r="AM2" s="92"/>
    </row>
    <row r="3" spans="2:44" x14ac:dyDescent="0.3">
      <c r="F3" s="15"/>
      <c r="G3" s="15" t="s">
        <v>63</v>
      </c>
      <c r="H3" s="15" t="str">
        <f ca="1">IF(H$6=TODAY(),COUNTIF(H7:H40,"h"),"")</f>
        <v/>
      </c>
      <c r="I3" s="15" t="str">
        <f t="shared" ref="I3:AH3" ca="1" si="2">IF(I$6=TODAY(),COUNTIF(I7:I40,"h"),"")</f>
        <v/>
      </c>
      <c r="J3" s="15" t="str">
        <f t="shared" ca="1" si="2"/>
        <v/>
      </c>
      <c r="K3" s="15" t="str">
        <f t="shared" ca="1" si="2"/>
        <v/>
      </c>
      <c r="L3" s="15" t="str">
        <f t="shared" ca="1" si="2"/>
        <v/>
      </c>
      <c r="M3" s="15" t="str">
        <f t="shared" ca="1" si="2"/>
        <v/>
      </c>
      <c r="N3" s="15" t="str">
        <f t="shared" ca="1" si="2"/>
        <v/>
      </c>
      <c r="O3" s="15" t="str">
        <f t="shared" ca="1" si="2"/>
        <v/>
      </c>
      <c r="P3" s="15" t="str">
        <f t="shared" ca="1" si="2"/>
        <v/>
      </c>
      <c r="Q3" s="15" t="str">
        <f t="shared" ca="1" si="2"/>
        <v/>
      </c>
      <c r="R3" s="15" t="str">
        <f t="shared" ca="1" si="2"/>
        <v/>
      </c>
      <c r="S3" s="15" t="str">
        <f t="shared" ca="1" si="2"/>
        <v/>
      </c>
      <c r="T3" s="15" t="str">
        <f t="shared" ca="1" si="2"/>
        <v/>
      </c>
      <c r="U3" s="15" t="str">
        <f t="shared" ca="1" si="2"/>
        <v/>
      </c>
      <c r="V3" s="15" t="str">
        <f t="shared" ca="1" si="2"/>
        <v/>
      </c>
      <c r="W3" s="15" t="str">
        <f t="shared" ca="1" si="2"/>
        <v/>
      </c>
      <c r="X3" s="15" t="str">
        <f t="shared" ca="1" si="2"/>
        <v/>
      </c>
      <c r="Y3" s="15" t="str">
        <f t="shared" ca="1" si="2"/>
        <v/>
      </c>
      <c r="Z3" s="15" t="str">
        <f t="shared" ca="1" si="2"/>
        <v/>
      </c>
      <c r="AA3" s="15" t="str">
        <f t="shared" ca="1" si="2"/>
        <v/>
      </c>
      <c r="AB3" s="15" t="str">
        <f t="shared" ca="1" si="2"/>
        <v/>
      </c>
      <c r="AC3" s="15" t="str">
        <f t="shared" ca="1" si="2"/>
        <v/>
      </c>
      <c r="AD3" s="15" t="str">
        <f t="shared" ca="1" si="2"/>
        <v/>
      </c>
      <c r="AE3" s="15">
        <f t="shared" ca="1" si="2"/>
        <v>0</v>
      </c>
      <c r="AF3" s="15" t="str">
        <f t="shared" ca="1" si="2"/>
        <v/>
      </c>
      <c r="AG3" s="15" t="str">
        <f t="shared" ca="1" si="2"/>
        <v/>
      </c>
      <c r="AH3" s="15" t="str">
        <f t="shared" ca="1" si="2"/>
        <v/>
      </c>
      <c r="AL3" s="93"/>
      <c r="AM3" s="94"/>
    </row>
    <row r="4" spans="2:44" ht="15" thickBot="1" x14ac:dyDescent="0.35">
      <c r="F4" s="15"/>
      <c r="G4" s="15" t="s">
        <v>66</v>
      </c>
      <c r="H4" s="15" t="str">
        <f ca="1">IF(H$6=TODAY(),COUNTIF(H8:H41,"l"),"")</f>
        <v/>
      </c>
      <c r="I4" s="15" t="str">
        <f t="shared" ref="I4:AH4" ca="1" si="3">IF(I$6=TODAY(),COUNTIF(I8:I41,"l"),"")</f>
        <v/>
      </c>
      <c r="J4" s="15" t="str">
        <f t="shared" ca="1" si="3"/>
        <v/>
      </c>
      <c r="K4" s="15" t="str">
        <f t="shared" ca="1" si="3"/>
        <v/>
      </c>
      <c r="L4" s="15" t="str">
        <f t="shared" ca="1" si="3"/>
        <v/>
      </c>
      <c r="M4" s="15" t="str">
        <f t="shared" ca="1" si="3"/>
        <v/>
      </c>
      <c r="N4" s="15" t="str">
        <f t="shared" ca="1" si="3"/>
        <v/>
      </c>
      <c r="O4" s="15" t="str">
        <f t="shared" ca="1" si="3"/>
        <v/>
      </c>
      <c r="P4" s="15" t="str">
        <f t="shared" ca="1" si="3"/>
        <v/>
      </c>
      <c r="Q4" s="15" t="str">
        <f t="shared" ca="1" si="3"/>
        <v/>
      </c>
      <c r="R4" s="15" t="str">
        <f t="shared" ca="1" si="3"/>
        <v/>
      </c>
      <c r="S4" s="15" t="str">
        <f t="shared" ca="1" si="3"/>
        <v/>
      </c>
      <c r="T4" s="15" t="str">
        <f t="shared" ca="1" si="3"/>
        <v/>
      </c>
      <c r="U4" s="15" t="str">
        <f t="shared" ca="1" si="3"/>
        <v/>
      </c>
      <c r="V4" s="15" t="str">
        <f t="shared" ca="1" si="3"/>
        <v/>
      </c>
      <c r="W4" s="15" t="str">
        <f t="shared" ca="1" si="3"/>
        <v/>
      </c>
      <c r="X4" s="15" t="str">
        <f t="shared" ca="1" si="3"/>
        <v/>
      </c>
      <c r="Y4" s="15" t="str">
        <f t="shared" ca="1" si="3"/>
        <v/>
      </c>
      <c r="Z4" s="15" t="str">
        <f t="shared" ca="1" si="3"/>
        <v/>
      </c>
      <c r="AA4" s="15" t="str">
        <f t="shared" ca="1" si="3"/>
        <v/>
      </c>
      <c r="AB4" s="15" t="str">
        <f t="shared" ca="1" si="3"/>
        <v/>
      </c>
      <c r="AC4" s="15" t="str">
        <f t="shared" ca="1" si="3"/>
        <v/>
      </c>
      <c r="AD4" s="15" t="str">
        <f t="shared" ca="1" si="3"/>
        <v/>
      </c>
      <c r="AE4" s="15">
        <f ca="1">IF(AE$6=TODAY(),COUNTIF(AE7:AE40,"l"),"")</f>
        <v>0</v>
      </c>
      <c r="AF4" s="15" t="str">
        <f t="shared" ca="1" si="3"/>
        <v/>
      </c>
      <c r="AG4" s="15" t="str">
        <f t="shared" ca="1" si="3"/>
        <v/>
      </c>
      <c r="AH4" s="15" t="str">
        <f t="shared" ca="1" si="3"/>
        <v/>
      </c>
      <c r="AL4" s="95"/>
      <c r="AM4" s="96"/>
    </row>
    <row r="5" spans="2:44" ht="26.4" thickBot="1" x14ac:dyDescent="0.35">
      <c r="H5" s="12" t="str">
        <f>TEXT(H6,"ddd")</f>
        <v>Mon</v>
      </c>
      <c r="I5" s="12" t="str">
        <f t="shared" ref="I5:AG5" si="4">TEXT(I6,"ddd")</f>
        <v>Tue</v>
      </c>
      <c r="J5" s="12" t="str">
        <f t="shared" si="4"/>
        <v>Wed</v>
      </c>
      <c r="K5" s="12" t="str">
        <f t="shared" si="4"/>
        <v>Thu</v>
      </c>
      <c r="L5" s="12" t="str">
        <f t="shared" si="4"/>
        <v>Fri</v>
      </c>
      <c r="M5" s="12" t="str">
        <f t="shared" si="4"/>
        <v>Sat</v>
      </c>
      <c r="N5" s="12" t="str">
        <f t="shared" si="4"/>
        <v>Mon</v>
      </c>
      <c r="O5" s="12" t="str">
        <f t="shared" si="4"/>
        <v>Tue</v>
      </c>
      <c r="P5" s="12" t="str">
        <f t="shared" si="4"/>
        <v>Wed</v>
      </c>
      <c r="Q5" s="12" t="str">
        <f t="shared" si="4"/>
        <v>Thu</v>
      </c>
      <c r="R5" s="12" t="str">
        <f t="shared" si="4"/>
        <v>Fri</v>
      </c>
      <c r="S5" s="12" t="str">
        <f t="shared" si="4"/>
        <v>Sat</v>
      </c>
      <c r="T5" s="12" t="str">
        <f t="shared" si="4"/>
        <v>Mon</v>
      </c>
      <c r="U5" s="12" t="str">
        <f t="shared" si="4"/>
        <v>Tue</v>
      </c>
      <c r="V5" s="12" t="str">
        <f t="shared" si="4"/>
        <v>Wed</v>
      </c>
      <c r="W5" s="12" t="str">
        <f t="shared" si="4"/>
        <v>Thu</v>
      </c>
      <c r="X5" s="12" t="str">
        <f t="shared" si="4"/>
        <v>Fri</v>
      </c>
      <c r="Y5" s="12" t="str">
        <f t="shared" si="4"/>
        <v>Sat</v>
      </c>
      <c r="Z5" s="12" t="str">
        <f t="shared" si="4"/>
        <v>Mon</v>
      </c>
      <c r="AA5" s="12" t="str">
        <f t="shared" si="4"/>
        <v>Tue</v>
      </c>
      <c r="AB5" s="12" t="str">
        <f t="shared" si="4"/>
        <v>Wed</v>
      </c>
      <c r="AC5" s="12" t="str">
        <f t="shared" si="4"/>
        <v>Thu</v>
      </c>
      <c r="AD5" s="12" t="str">
        <f t="shared" si="4"/>
        <v>Fri</v>
      </c>
      <c r="AE5" s="12" t="str">
        <f t="shared" si="4"/>
        <v>Sat</v>
      </c>
      <c r="AF5" s="12" t="str">
        <f t="shared" si="4"/>
        <v>Mon</v>
      </c>
      <c r="AG5" s="12" t="str">
        <f t="shared" si="4"/>
        <v>Tue</v>
      </c>
    </row>
    <row r="6" spans="2:44" ht="16.2" thickBot="1" x14ac:dyDescent="0.35">
      <c r="B6" s="99" t="s">
        <v>29</v>
      </c>
      <c r="C6" s="100"/>
      <c r="D6" s="101"/>
      <c r="F6" s="63" t="s">
        <v>3</v>
      </c>
      <c r="G6" s="64" t="s">
        <v>52</v>
      </c>
      <c r="H6" s="65">
        <f>IF(TEXT(B1,"dddd")=D12,B1+1,B1)</f>
        <v>45474</v>
      </c>
      <c r="I6" s="65">
        <f>IFERROR(IF(IF(TEXT(H6+1,"dddd")=$D$12,H6+2,H6+1)&lt;=$D$1,IF(TEXT(H6+1,"dddd")=$D$12,H6+2,H6+1)," ")," ")</f>
        <v>45475</v>
      </c>
      <c r="J6" s="65">
        <f t="shared" ref="J6:AG6" si="5">IFERROR(IF(IF(TEXT(I6+1,"dddd")=$D$12,I6+2,I6+1)&lt;=$D$1,IF(TEXT(I6+1,"dddd")=$D$12,I6+2,I6+1)," ")," ")</f>
        <v>45476</v>
      </c>
      <c r="K6" s="65">
        <f t="shared" si="5"/>
        <v>45477</v>
      </c>
      <c r="L6" s="65">
        <f t="shared" si="5"/>
        <v>45478</v>
      </c>
      <c r="M6" s="65">
        <f t="shared" si="5"/>
        <v>45479</v>
      </c>
      <c r="N6" s="65">
        <f t="shared" si="5"/>
        <v>45481</v>
      </c>
      <c r="O6" s="65">
        <f t="shared" si="5"/>
        <v>45482</v>
      </c>
      <c r="P6" s="65">
        <f t="shared" si="5"/>
        <v>45483</v>
      </c>
      <c r="Q6" s="65">
        <f t="shared" si="5"/>
        <v>45484</v>
      </c>
      <c r="R6" s="65">
        <f t="shared" si="5"/>
        <v>45485</v>
      </c>
      <c r="S6" s="65">
        <f t="shared" si="5"/>
        <v>45486</v>
      </c>
      <c r="T6" s="65">
        <f t="shared" si="5"/>
        <v>45488</v>
      </c>
      <c r="U6" s="65">
        <f t="shared" si="5"/>
        <v>45489</v>
      </c>
      <c r="V6" s="65">
        <f t="shared" si="5"/>
        <v>45490</v>
      </c>
      <c r="W6" s="65">
        <f t="shared" si="5"/>
        <v>45491</v>
      </c>
      <c r="X6" s="65">
        <f t="shared" si="5"/>
        <v>45492</v>
      </c>
      <c r="Y6" s="65">
        <f t="shared" si="5"/>
        <v>45493</v>
      </c>
      <c r="Z6" s="65">
        <f t="shared" si="5"/>
        <v>45495</v>
      </c>
      <c r="AA6" s="65">
        <f t="shared" si="5"/>
        <v>45496</v>
      </c>
      <c r="AB6" s="65">
        <f t="shared" si="5"/>
        <v>45497</v>
      </c>
      <c r="AC6" s="65">
        <f t="shared" si="5"/>
        <v>45498</v>
      </c>
      <c r="AD6" s="65">
        <f t="shared" si="5"/>
        <v>45499</v>
      </c>
      <c r="AE6" s="65">
        <f t="shared" si="5"/>
        <v>45500</v>
      </c>
      <c r="AF6" s="65">
        <f t="shared" si="5"/>
        <v>45502</v>
      </c>
      <c r="AG6" s="66">
        <f t="shared" si="5"/>
        <v>45503</v>
      </c>
      <c r="AJ6" s="59" t="s">
        <v>64</v>
      </c>
      <c r="AK6" s="60" t="s">
        <v>58</v>
      </c>
      <c r="AL6" s="60" t="s">
        <v>60</v>
      </c>
      <c r="AM6" s="61" t="s">
        <v>65</v>
      </c>
      <c r="AN6" s="9"/>
      <c r="AO6" s="9"/>
      <c r="AP6" s="9"/>
      <c r="AQ6" s="9"/>
      <c r="AR6" s="9"/>
    </row>
    <row r="7" spans="2:44" ht="15" thickBot="1" x14ac:dyDescent="0.35">
      <c r="F7" s="38">
        <v>1</v>
      </c>
      <c r="G7" t="s">
        <v>25</v>
      </c>
      <c r="AG7" s="39"/>
      <c r="AJ7" s="32">
        <f>COUNTIF(H7:AH7,"a")</f>
        <v>0</v>
      </c>
      <c r="AK7" s="13">
        <f>COUNTIF(H7:AH7,"p")</f>
        <v>0</v>
      </c>
      <c r="AL7" s="13">
        <f>COUNTIF(H7:AH7,"h")</f>
        <v>0</v>
      </c>
      <c r="AM7" s="33">
        <f>COUNTIF(H7:AH7,"l")</f>
        <v>0</v>
      </c>
    </row>
    <row r="8" spans="2:44" ht="15" thickBot="1" x14ac:dyDescent="0.35">
      <c r="B8" s="43" t="s">
        <v>30</v>
      </c>
      <c r="C8" s="44"/>
      <c r="D8" s="45" t="s">
        <v>39</v>
      </c>
      <c r="F8" s="38">
        <v>2</v>
      </c>
      <c r="G8" t="s">
        <v>70</v>
      </c>
      <c r="AG8" s="39"/>
      <c r="AJ8" s="34">
        <f t="shared" ref="AJ8:AJ40" si="6">COUNTIF(H8:AH8,"a")</f>
        <v>0</v>
      </c>
      <c r="AK8" s="14">
        <f t="shared" ref="AK8:AK40" si="7">COUNTIF(H8:AH8,"p")</f>
        <v>0</v>
      </c>
      <c r="AL8" s="14">
        <f t="shared" ref="AL8:AL40" si="8">COUNTIF(H8:AH8,"h")</f>
        <v>0</v>
      </c>
      <c r="AM8" s="33">
        <f t="shared" ref="AM8:AM40" si="9">COUNTIF(H8:AH8,"l")</f>
        <v>0</v>
      </c>
    </row>
    <row r="9" spans="2:44" ht="15" thickBot="1" x14ac:dyDescent="0.35">
      <c r="B9" s="10"/>
      <c r="C9" s="10"/>
      <c r="D9" s="11"/>
      <c r="F9" s="38"/>
      <c r="AG9" s="39"/>
      <c r="AJ9" s="34">
        <f t="shared" si="6"/>
        <v>0</v>
      </c>
      <c r="AK9" s="14">
        <f t="shared" si="7"/>
        <v>0</v>
      </c>
      <c r="AL9" s="14">
        <f t="shared" si="8"/>
        <v>0</v>
      </c>
      <c r="AM9" s="33">
        <f t="shared" si="9"/>
        <v>0</v>
      </c>
    </row>
    <row r="10" spans="2:44" ht="15" thickBot="1" x14ac:dyDescent="0.35">
      <c r="B10" s="43" t="s">
        <v>31</v>
      </c>
      <c r="C10" s="44"/>
      <c r="D10" s="45">
        <v>2024</v>
      </c>
      <c r="F10" s="38"/>
      <c r="AG10" s="39"/>
      <c r="AJ10" s="34">
        <f t="shared" si="6"/>
        <v>0</v>
      </c>
      <c r="AK10" s="14">
        <f t="shared" si="7"/>
        <v>0</v>
      </c>
      <c r="AL10" s="14">
        <f t="shared" si="8"/>
        <v>0</v>
      </c>
      <c r="AM10" s="33">
        <f t="shared" si="9"/>
        <v>0</v>
      </c>
    </row>
    <row r="11" spans="2:44" ht="15" thickBot="1" x14ac:dyDescent="0.35">
      <c r="B11" s="10"/>
      <c r="C11" s="10"/>
      <c r="D11" s="11"/>
      <c r="F11" s="38"/>
      <c r="AG11" s="39"/>
      <c r="AJ11" s="34">
        <f t="shared" si="6"/>
        <v>0</v>
      </c>
      <c r="AK11" s="14">
        <f t="shared" si="7"/>
        <v>0</v>
      </c>
      <c r="AL11" s="14">
        <f t="shared" si="8"/>
        <v>0</v>
      </c>
      <c r="AM11" s="33">
        <f t="shared" si="9"/>
        <v>0</v>
      </c>
    </row>
    <row r="12" spans="2:44" ht="15" thickBot="1" x14ac:dyDescent="0.35">
      <c r="B12" s="43" t="s">
        <v>32</v>
      </c>
      <c r="C12" s="44"/>
      <c r="D12" s="45" t="s">
        <v>45</v>
      </c>
      <c r="F12" s="38"/>
      <c r="AG12" s="39"/>
      <c r="AJ12" s="34">
        <f t="shared" si="6"/>
        <v>0</v>
      </c>
      <c r="AK12" s="14">
        <f t="shared" si="7"/>
        <v>0</v>
      </c>
      <c r="AL12" s="14">
        <f t="shared" si="8"/>
        <v>0</v>
      </c>
      <c r="AM12" s="33">
        <f t="shared" si="9"/>
        <v>0</v>
      </c>
    </row>
    <row r="13" spans="2:44" ht="15" thickBot="1" x14ac:dyDescent="0.35">
      <c r="B13" s="10"/>
      <c r="C13" s="10"/>
      <c r="D13" s="10"/>
      <c r="F13" s="38"/>
      <c r="AG13" s="39"/>
      <c r="AJ13" s="34">
        <f t="shared" si="6"/>
        <v>0</v>
      </c>
      <c r="AK13" s="14">
        <f t="shared" si="7"/>
        <v>0</v>
      </c>
      <c r="AL13" s="14">
        <f t="shared" si="8"/>
        <v>0</v>
      </c>
      <c r="AM13" s="33">
        <f t="shared" si="9"/>
        <v>0</v>
      </c>
    </row>
    <row r="14" spans="2:44" x14ac:dyDescent="0.3">
      <c r="B14" s="46" t="s">
        <v>54</v>
      </c>
      <c r="C14" s="47"/>
      <c r="D14" s="48"/>
      <c r="F14" s="38"/>
      <c r="AG14" s="39"/>
      <c r="AJ14" s="34">
        <f t="shared" si="6"/>
        <v>0</v>
      </c>
      <c r="AK14" s="14">
        <f t="shared" si="7"/>
        <v>0</v>
      </c>
      <c r="AL14" s="14">
        <f t="shared" si="8"/>
        <v>0</v>
      </c>
      <c r="AM14" s="33">
        <f t="shared" si="9"/>
        <v>0</v>
      </c>
    </row>
    <row r="15" spans="2:44" x14ac:dyDescent="0.3">
      <c r="B15" s="49" t="s">
        <v>55</v>
      </c>
      <c r="C15" s="50"/>
      <c r="D15" s="51"/>
      <c r="F15" s="38"/>
      <c r="AG15" s="39"/>
      <c r="AJ15" s="34">
        <f t="shared" si="6"/>
        <v>0</v>
      </c>
      <c r="AK15" s="14">
        <f t="shared" si="7"/>
        <v>0</v>
      </c>
      <c r="AL15" s="14">
        <f t="shared" si="8"/>
        <v>0</v>
      </c>
      <c r="AM15" s="33">
        <f t="shared" si="9"/>
        <v>0</v>
      </c>
    </row>
    <row r="16" spans="2:44" x14ac:dyDescent="0.3">
      <c r="B16" s="49" t="s">
        <v>56</v>
      </c>
      <c r="C16" s="50"/>
      <c r="D16" s="51"/>
      <c r="F16" s="38"/>
      <c r="AG16" s="39"/>
      <c r="AJ16" s="34">
        <f t="shared" si="6"/>
        <v>0</v>
      </c>
      <c r="AK16" s="14">
        <f t="shared" si="7"/>
        <v>0</v>
      </c>
      <c r="AL16" s="14">
        <f t="shared" si="8"/>
        <v>0</v>
      </c>
      <c r="AM16" s="33">
        <f t="shared" si="9"/>
        <v>0</v>
      </c>
    </row>
    <row r="17" spans="2:39" ht="15" thickBot="1" x14ac:dyDescent="0.35">
      <c r="B17" s="52" t="s">
        <v>75</v>
      </c>
      <c r="C17" s="53"/>
      <c r="D17" s="54"/>
      <c r="F17" s="38"/>
      <c r="AG17" s="39"/>
      <c r="AJ17" s="34">
        <f t="shared" si="6"/>
        <v>0</v>
      </c>
      <c r="AK17" s="14">
        <f t="shared" si="7"/>
        <v>0</v>
      </c>
      <c r="AL17" s="14">
        <f t="shared" si="8"/>
        <v>0</v>
      </c>
      <c r="AM17" s="33">
        <f t="shared" si="9"/>
        <v>0</v>
      </c>
    </row>
    <row r="18" spans="2:39" ht="15" thickBot="1" x14ac:dyDescent="0.35">
      <c r="F18" s="38"/>
      <c r="AG18" s="39"/>
      <c r="AJ18" s="34">
        <f t="shared" si="6"/>
        <v>0</v>
      </c>
      <c r="AK18" s="14">
        <f t="shared" si="7"/>
        <v>0</v>
      </c>
      <c r="AL18" s="14">
        <f t="shared" si="8"/>
        <v>0</v>
      </c>
      <c r="AM18" s="33">
        <f t="shared" si="9"/>
        <v>0</v>
      </c>
    </row>
    <row r="19" spans="2:39" x14ac:dyDescent="0.3">
      <c r="B19" s="55" t="s">
        <v>57</v>
      </c>
      <c r="D19" s="55" t="s">
        <v>58</v>
      </c>
      <c r="F19" s="38"/>
      <c r="AG19" s="39"/>
      <c r="AJ19" s="34">
        <f t="shared" si="6"/>
        <v>0</v>
      </c>
      <c r="AK19" s="14">
        <f t="shared" si="7"/>
        <v>0</v>
      </c>
      <c r="AL19" s="14">
        <f t="shared" si="8"/>
        <v>0</v>
      </c>
      <c r="AM19" s="33">
        <f t="shared" si="9"/>
        <v>0</v>
      </c>
    </row>
    <row r="20" spans="2:39" x14ac:dyDescent="0.3">
      <c r="B20" s="97">
        <f>COUNTA(F7:F40)</f>
        <v>2</v>
      </c>
      <c r="D20" s="97">
        <f ca="1">SUM(H1:AH1)</f>
        <v>0</v>
      </c>
      <c r="F20" s="38"/>
      <c r="AG20" s="39"/>
      <c r="AJ20" s="34">
        <f t="shared" si="6"/>
        <v>0</v>
      </c>
      <c r="AK20" s="14">
        <f t="shared" si="7"/>
        <v>0</v>
      </c>
      <c r="AL20" s="14">
        <f t="shared" si="8"/>
        <v>0</v>
      </c>
      <c r="AM20" s="33">
        <f t="shared" si="9"/>
        <v>0</v>
      </c>
    </row>
    <row r="21" spans="2:39" x14ac:dyDescent="0.3">
      <c r="B21" s="97"/>
      <c r="D21" s="97"/>
      <c r="F21" s="38"/>
      <c r="AG21" s="39"/>
      <c r="AJ21" s="34">
        <f t="shared" si="6"/>
        <v>0</v>
      </c>
      <c r="AK21" s="14">
        <f t="shared" si="7"/>
        <v>0</v>
      </c>
      <c r="AL21" s="14">
        <f t="shared" si="8"/>
        <v>0</v>
      </c>
      <c r="AM21" s="33">
        <f t="shared" si="9"/>
        <v>0</v>
      </c>
    </row>
    <row r="22" spans="2:39" ht="15" thickBot="1" x14ac:dyDescent="0.35">
      <c r="B22" s="98"/>
      <c r="D22" s="98"/>
      <c r="F22" s="38"/>
      <c r="AG22" s="39"/>
      <c r="AJ22" s="34">
        <f t="shared" si="6"/>
        <v>0</v>
      </c>
      <c r="AK22" s="14">
        <f t="shared" si="7"/>
        <v>0</v>
      </c>
      <c r="AL22" s="14">
        <f t="shared" si="8"/>
        <v>0</v>
      </c>
      <c r="AM22" s="33">
        <f t="shared" si="9"/>
        <v>0</v>
      </c>
    </row>
    <row r="23" spans="2:39" ht="15" thickBot="1" x14ac:dyDescent="0.35">
      <c r="F23" s="38"/>
      <c r="AG23" s="39"/>
      <c r="AJ23" s="34">
        <f t="shared" si="6"/>
        <v>0</v>
      </c>
      <c r="AK23" s="14">
        <f t="shared" si="7"/>
        <v>0</v>
      </c>
      <c r="AL23" s="14">
        <f t="shared" si="8"/>
        <v>0</v>
      </c>
      <c r="AM23" s="33">
        <f t="shared" si="9"/>
        <v>0</v>
      </c>
    </row>
    <row r="24" spans="2:39" x14ac:dyDescent="0.3">
      <c r="B24" s="55" t="s">
        <v>59</v>
      </c>
      <c r="D24" s="55" t="s">
        <v>60</v>
      </c>
      <c r="F24" s="38"/>
      <c r="AG24" s="39"/>
      <c r="AJ24" s="34">
        <f t="shared" si="6"/>
        <v>0</v>
      </c>
      <c r="AK24" s="14">
        <f t="shared" si="7"/>
        <v>0</v>
      </c>
      <c r="AL24" s="14">
        <f t="shared" si="8"/>
        <v>0</v>
      </c>
      <c r="AM24" s="33">
        <f t="shared" si="9"/>
        <v>0</v>
      </c>
    </row>
    <row r="25" spans="2:39" x14ac:dyDescent="0.3">
      <c r="B25" s="97">
        <f ca="1">SUM(H2:AH2)</f>
        <v>0</v>
      </c>
      <c r="D25" s="97">
        <f ca="1">SUM(H3:AH3)</f>
        <v>0</v>
      </c>
      <c r="F25" s="38"/>
      <c r="AG25" s="39"/>
      <c r="AJ25" s="34">
        <f t="shared" si="6"/>
        <v>0</v>
      </c>
      <c r="AK25" s="14">
        <f t="shared" si="7"/>
        <v>0</v>
      </c>
      <c r="AL25" s="14">
        <f t="shared" si="8"/>
        <v>0</v>
      </c>
      <c r="AM25" s="33">
        <f t="shared" si="9"/>
        <v>0</v>
      </c>
    </row>
    <row r="26" spans="2:39" x14ac:dyDescent="0.3">
      <c r="B26" s="97"/>
      <c r="D26" s="97"/>
      <c r="F26" s="38"/>
      <c r="AG26" s="39"/>
      <c r="AJ26" s="34">
        <f t="shared" si="6"/>
        <v>0</v>
      </c>
      <c r="AK26" s="14">
        <f t="shared" si="7"/>
        <v>0</v>
      </c>
      <c r="AL26" s="14">
        <f t="shared" si="8"/>
        <v>0</v>
      </c>
      <c r="AM26" s="33">
        <f t="shared" si="9"/>
        <v>0</v>
      </c>
    </row>
    <row r="27" spans="2:39" ht="15" thickBot="1" x14ac:dyDescent="0.35">
      <c r="B27" s="98"/>
      <c r="D27" s="98"/>
      <c r="F27" s="38"/>
      <c r="AG27" s="39"/>
      <c r="AJ27" s="34">
        <f t="shared" si="6"/>
        <v>0</v>
      </c>
      <c r="AK27" s="14">
        <f t="shared" si="7"/>
        <v>0</v>
      </c>
      <c r="AL27" s="14">
        <f t="shared" si="8"/>
        <v>0</v>
      </c>
      <c r="AM27" s="33">
        <f t="shared" si="9"/>
        <v>0</v>
      </c>
    </row>
    <row r="28" spans="2:39" ht="15" thickBot="1" x14ac:dyDescent="0.35">
      <c r="F28" s="38"/>
      <c r="AG28" s="39"/>
      <c r="AJ28" s="34">
        <f t="shared" si="6"/>
        <v>0</v>
      </c>
      <c r="AK28" s="14">
        <f t="shared" si="7"/>
        <v>0</v>
      </c>
      <c r="AL28" s="14">
        <f t="shared" si="8"/>
        <v>0</v>
      </c>
      <c r="AM28" s="33">
        <f t="shared" si="9"/>
        <v>0</v>
      </c>
    </row>
    <row r="29" spans="2:39" x14ac:dyDescent="0.3">
      <c r="B29" s="55" t="s">
        <v>65</v>
      </c>
      <c r="F29" s="38"/>
      <c r="AG29" s="39"/>
      <c r="AJ29" s="34">
        <f t="shared" si="6"/>
        <v>0</v>
      </c>
      <c r="AK29" s="14">
        <f t="shared" si="7"/>
        <v>0</v>
      </c>
      <c r="AL29" s="14">
        <f t="shared" si="8"/>
        <v>0</v>
      </c>
      <c r="AM29" s="33">
        <f t="shared" si="9"/>
        <v>0</v>
      </c>
    </row>
    <row r="30" spans="2:39" x14ac:dyDescent="0.3">
      <c r="B30" s="97">
        <f ca="1">SUM(H4:AH4)</f>
        <v>0</v>
      </c>
      <c r="F30" s="38"/>
      <c r="AG30" s="39"/>
      <c r="AJ30" s="34">
        <f t="shared" si="6"/>
        <v>0</v>
      </c>
      <c r="AK30" s="14">
        <f t="shared" si="7"/>
        <v>0</v>
      </c>
      <c r="AL30" s="14">
        <f t="shared" si="8"/>
        <v>0</v>
      </c>
      <c r="AM30" s="33">
        <f t="shared" si="9"/>
        <v>0</v>
      </c>
    </row>
    <row r="31" spans="2:39" x14ac:dyDescent="0.3">
      <c r="B31" s="97"/>
      <c r="F31" s="38"/>
      <c r="AG31" s="39"/>
      <c r="AJ31" s="34">
        <f t="shared" si="6"/>
        <v>0</v>
      </c>
      <c r="AK31" s="14">
        <f t="shared" si="7"/>
        <v>0</v>
      </c>
      <c r="AL31" s="14">
        <f t="shared" si="8"/>
        <v>0</v>
      </c>
      <c r="AM31" s="33">
        <f t="shared" si="9"/>
        <v>0</v>
      </c>
    </row>
    <row r="32" spans="2:39" ht="15" thickBot="1" x14ac:dyDescent="0.35">
      <c r="B32" s="98"/>
      <c r="F32" s="38"/>
      <c r="AG32" s="39"/>
      <c r="AJ32" s="34">
        <f t="shared" si="6"/>
        <v>0</v>
      </c>
      <c r="AK32" s="14">
        <f t="shared" si="7"/>
        <v>0</v>
      </c>
      <c r="AL32" s="14">
        <f t="shared" si="8"/>
        <v>0</v>
      </c>
      <c r="AM32" s="33">
        <f t="shared" si="9"/>
        <v>0</v>
      </c>
    </row>
    <row r="33" spans="6:39" x14ac:dyDescent="0.3">
      <c r="F33" s="38"/>
      <c r="AG33" s="39"/>
      <c r="AJ33" s="34">
        <f t="shared" si="6"/>
        <v>0</v>
      </c>
      <c r="AK33" s="14">
        <f t="shared" si="7"/>
        <v>0</v>
      </c>
      <c r="AL33" s="14">
        <f t="shared" si="8"/>
        <v>0</v>
      </c>
      <c r="AM33" s="33">
        <f t="shared" si="9"/>
        <v>0</v>
      </c>
    </row>
    <row r="34" spans="6:39" x14ac:dyDescent="0.3">
      <c r="F34" s="38"/>
      <c r="AG34" s="39"/>
      <c r="AJ34" s="34">
        <f t="shared" si="6"/>
        <v>0</v>
      </c>
      <c r="AK34" s="14">
        <f t="shared" si="7"/>
        <v>0</v>
      </c>
      <c r="AL34" s="14">
        <f t="shared" si="8"/>
        <v>0</v>
      </c>
      <c r="AM34" s="33">
        <f t="shared" si="9"/>
        <v>0</v>
      </c>
    </row>
    <row r="35" spans="6:39" x14ac:dyDescent="0.3">
      <c r="F35" s="38"/>
      <c r="AG35" s="39"/>
      <c r="AJ35" s="34">
        <f t="shared" si="6"/>
        <v>0</v>
      </c>
      <c r="AK35" s="14">
        <f t="shared" si="7"/>
        <v>0</v>
      </c>
      <c r="AL35" s="14">
        <f t="shared" si="8"/>
        <v>0</v>
      </c>
      <c r="AM35" s="33">
        <f t="shared" si="9"/>
        <v>0</v>
      </c>
    </row>
    <row r="36" spans="6:39" x14ac:dyDescent="0.3">
      <c r="F36" s="38"/>
      <c r="AG36" s="39"/>
      <c r="AJ36" s="34">
        <f t="shared" si="6"/>
        <v>0</v>
      </c>
      <c r="AK36" s="14">
        <f t="shared" si="7"/>
        <v>0</v>
      </c>
      <c r="AL36" s="14">
        <f t="shared" si="8"/>
        <v>0</v>
      </c>
      <c r="AM36" s="33">
        <f t="shared" si="9"/>
        <v>0</v>
      </c>
    </row>
    <row r="37" spans="6:39" x14ac:dyDescent="0.3">
      <c r="F37" s="38"/>
      <c r="AG37" s="39"/>
      <c r="AJ37" s="34">
        <f t="shared" si="6"/>
        <v>0</v>
      </c>
      <c r="AK37" s="14">
        <f t="shared" si="7"/>
        <v>0</v>
      </c>
      <c r="AL37" s="14">
        <f t="shared" si="8"/>
        <v>0</v>
      </c>
      <c r="AM37" s="33">
        <f t="shared" si="9"/>
        <v>0</v>
      </c>
    </row>
    <row r="38" spans="6:39" x14ac:dyDescent="0.3">
      <c r="F38" s="38"/>
      <c r="AG38" s="39"/>
      <c r="AJ38" s="34">
        <f t="shared" si="6"/>
        <v>0</v>
      </c>
      <c r="AK38" s="14">
        <f t="shared" si="7"/>
        <v>0</v>
      </c>
      <c r="AL38" s="14">
        <f t="shared" si="8"/>
        <v>0</v>
      </c>
      <c r="AM38" s="33">
        <f t="shared" si="9"/>
        <v>0</v>
      </c>
    </row>
    <row r="39" spans="6:39" x14ac:dyDescent="0.3">
      <c r="F39" s="38"/>
      <c r="AG39" s="39"/>
      <c r="AJ39" s="34">
        <f t="shared" si="6"/>
        <v>0</v>
      </c>
      <c r="AK39" s="14">
        <f t="shared" si="7"/>
        <v>0</v>
      </c>
      <c r="AL39" s="14">
        <f t="shared" si="8"/>
        <v>0</v>
      </c>
      <c r="AM39" s="33">
        <f t="shared" si="9"/>
        <v>0</v>
      </c>
    </row>
    <row r="40" spans="6:39" ht="15" thickBot="1" x14ac:dyDescent="0.35">
      <c r="F40" s="40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2"/>
      <c r="AJ40" s="35">
        <f t="shared" si="6"/>
        <v>0</v>
      </c>
      <c r="AK40" s="36">
        <f t="shared" si="7"/>
        <v>0</v>
      </c>
      <c r="AL40" s="36">
        <f t="shared" si="8"/>
        <v>0</v>
      </c>
      <c r="AM40" s="37">
        <f t="shared" si="9"/>
        <v>0</v>
      </c>
    </row>
  </sheetData>
  <mergeCells count="7">
    <mergeCell ref="AL2:AM4"/>
    <mergeCell ref="B30:B32"/>
    <mergeCell ref="B6:D6"/>
    <mergeCell ref="B20:B22"/>
    <mergeCell ref="D20:D22"/>
    <mergeCell ref="B25:B27"/>
    <mergeCell ref="D25:D27"/>
  </mergeCells>
  <conditionalFormatting sqref="F6:AG6">
    <cfRule type="expression" dxfId="4" priority="5">
      <formula>F$6&lt;&gt;""</formula>
    </cfRule>
  </conditionalFormatting>
  <conditionalFormatting sqref="F7:AG40">
    <cfRule type="expression" dxfId="3" priority="4">
      <formula>F$6 &lt;&gt; ""</formula>
    </cfRule>
  </conditionalFormatting>
  <conditionalFormatting sqref="H7:AG40">
    <cfRule type="expression" dxfId="2" priority="2">
      <formula>$D$12=(TEXT(H$6-1,"dddd"))</formula>
    </cfRule>
  </conditionalFormatting>
  <conditionalFormatting sqref="H6:AG6">
    <cfRule type="timePeriod" dxfId="1" priority="1" timePeriod="today">
      <formula>FLOOR(H6,1)=TODAY()</formula>
    </cfRule>
  </conditionalFormatting>
  <dataValidations count="1">
    <dataValidation type="list" allowBlank="1" showInputMessage="1" showErrorMessage="1" sqref="D10" xr:uid="{E3E3F9EE-3C1F-4F38-89BF-D6C081BEB8D1}">
      <formula1>"2024,2025,2026,2027,2028,2029"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3" name="Button 12">
              <controlPr defaultSize="0" autoFill="0" autoPict="0" macro="[0]!clear_all">
                <anchor moveWithCells="1" sizeWithCells="1">
                  <from>
                    <xdr:col>35</xdr:col>
                    <xdr:colOff>45720</xdr:colOff>
                    <xdr:row>2</xdr:row>
                    <xdr:rowOff>15240</xdr:rowOff>
                  </from>
                  <to>
                    <xdr:col>36</xdr:col>
                    <xdr:colOff>678180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BE74AAD-9E4C-4595-8F61-52984BB261DE}">
          <x14:formula1>
            <xm:f>Day_record!$A$1:$A$12</xm:f>
          </x14:formula1>
          <xm:sqref>D8</xm:sqref>
        </x14:dataValidation>
        <x14:dataValidation type="list" allowBlank="1" showInputMessage="1" showErrorMessage="1" xr:uid="{11D94E54-27A7-4BF4-85F3-F9846B3C7B6D}">
          <x14:formula1>
            <xm:f>Day_record!$B$1:$B$7</xm:f>
          </x14:formula1>
          <xm:sqref>D12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7B59A-B47D-48A0-A2FB-1B3C73B37FF6}">
  <sheetPr codeName="Sheet4"/>
  <dimension ref="A1:J3"/>
  <sheetViews>
    <sheetView workbookViewId="0">
      <selection activeCell="I2" sqref="I2"/>
    </sheetView>
  </sheetViews>
  <sheetFormatPr defaultRowHeight="14.4" x14ac:dyDescent="0.3"/>
  <cols>
    <col min="1" max="8" width="20.77734375" style="29" customWidth="1"/>
    <col min="9" max="9" width="67.109375" style="29" customWidth="1"/>
    <col min="10" max="16384" width="8.88671875" style="29"/>
  </cols>
  <sheetData>
    <row r="1" spans="1:10" ht="15.6" x14ac:dyDescent="0.3">
      <c r="A1" s="67" t="s">
        <v>68</v>
      </c>
      <c r="B1" s="67" t="s">
        <v>1</v>
      </c>
      <c r="C1" s="67" t="s">
        <v>2</v>
      </c>
      <c r="D1" s="67" t="s">
        <v>8</v>
      </c>
      <c r="E1" s="67" t="s">
        <v>74</v>
      </c>
      <c r="F1" s="67" t="s">
        <v>69</v>
      </c>
      <c r="G1" s="67" t="s">
        <v>71</v>
      </c>
      <c r="H1" s="67" t="s">
        <v>72</v>
      </c>
      <c r="I1" s="67" t="s">
        <v>73</v>
      </c>
    </row>
    <row r="2" spans="1:10" x14ac:dyDescent="0.3">
      <c r="A2" s="29">
        <v>1</v>
      </c>
      <c r="B2" s="29" t="s">
        <v>25</v>
      </c>
      <c r="C2" s="29" t="s">
        <v>27</v>
      </c>
      <c r="D2" s="30">
        <v>45496</v>
      </c>
      <c r="E2" s="29">
        <v>157896</v>
      </c>
      <c r="F2" s="29">
        <v>56982</v>
      </c>
      <c r="G2" s="29">
        <v>3840</v>
      </c>
      <c r="H2" s="29" t="s">
        <v>78</v>
      </c>
      <c r="I2" s="31" t="s">
        <v>77</v>
      </c>
      <c r="J2" s="31"/>
    </row>
    <row r="3" spans="1:10" x14ac:dyDescent="0.3">
      <c r="D3" s="30"/>
      <c r="I3" s="31"/>
    </row>
  </sheetData>
  <conditionalFormatting sqref="A2:I100">
    <cfRule type="expression" dxfId="0" priority="1">
      <formula>AND( $A2 &lt;&gt; "", $H2 &lt;&gt; "Yes")</formula>
    </cfRule>
  </conditionalFormatting>
  <dataValidations count="1">
    <dataValidation type="list" allowBlank="1" showInputMessage="1" showErrorMessage="1" sqref="H2:H100" xr:uid="{E9EB7623-87E3-44D4-BA88-B7A15AAEC1A8}">
      <formula1>"Yes"</formula1>
    </dataValidation>
  </dataValidations>
  <hyperlinks>
    <hyperlink ref="I2" r:id="rId1" xr:uid="{4B607DA3-D597-4DE1-9A7C-D399527DFFD2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FB435-A094-4AFC-A0E5-64365CDB61A0}">
  <sheetPr codeName="Sheet5">
    <tabColor rgb="FFFFC000"/>
  </sheetPr>
  <dimension ref="A1:B12"/>
  <sheetViews>
    <sheetView tabSelected="1" workbookViewId="0">
      <selection activeCell="G26" sqref="G26"/>
    </sheetView>
  </sheetViews>
  <sheetFormatPr defaultRowHeight="14.4" x14ac:dyDescent="0.3"/>
  <sheetData>
    <row r="1" spans="1:2" x14ac:dyDescent="0.3">
      <c r="A1" t="s">
        <v>33</v>
      </c>
      <c r="B1" t="s">
        <v>45</v>
      </c>
    </row>
    <row r="2" spans="1:2" x14ac:dyDescent="0.3">
      <c r="A2" t="s">
        <v>34</v>
      </c>
      <c r="B2" t="s">
        <v>46</v>
      </c>
    </row>
    <row r="3" spans="1:2" x14ac:dyDescent="0.3">
      <c r="A3" t="s">
        <v>35</v>
      </c>
      <c r="B3" t="s">
        <v>47</v>
      </c>
    </row>
    <row r="4" spans="1:2" x14ac:dyDescent="0.3">
      <c r="A4" t="s">
        <v>36</v>
      </c>
      <c r="B4" t="s">
        <v>48</v>
      </c>
    </row>
    <row r="5" spans="1:2" x14ac:dyDescent="0.3">
      <c r="A5" t="s">
        <v>37</v>
      </c>
      <c r="B5" t="s">
        <v>49</v>
      </c>
    </row>
    <row r="6" spans="1:2" x14ac:dyDescent="0.3">
      <c r="A6" t="s">
        <v>38</v>
      </c>
      <c r="B6" t="s">
        <v>50</v>
      </c>
    </row>
    <row r="7" spans="1:2" x14ac:dyDescent="0.3">
      <c r="A7" t="s">
        <v>39</v>
      </c>
      <c r="B7" t="s">
        <v>51</v>
      </c>
    </row>
    <row r="8" spans="1:2" x14ac:dyDescent="0.3">
      <c r="A8" t="s">
        <v>40</v>
      </c>
    </row>
    <row r="9" spans="1:2" x14ac:dyDescent="0.3">
      <c r="A9" t="s">
        <v>41</v>
      </c>
    </row>
    <row r="10" spans="1:2" x14ac:dyDescent="0.3">
      <c r="A10" t="s">
        <v>42</v>
      </c>
    </row>
    <row r="11" spans="1:2" x14ac:dyDescent="0.3">
      <c r="A11" t="s">
        <v>43</v>
      </c>
    </row>
    <row r="12" spans="1:2" x14ac:dyDescent="0.3">
      <c r="A12" t="s">
        <v>44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Payslip</vt:lpstr>
      <vt:lpstr>Emp_database</vt:lpstr>
      <vt:lpstr>Attendance</vt:lpstr>
      <vt:lpstr>Payslip_records</vt:lpstr>
      <vt:lpstr>Day_record</vt:lpstr>
      <vt:lpstr>Emp_ID</vt:lpstr>
      <vt:lpstr>Payslip!Print_Area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PANKAJ BISHT</cp:lastModifiedBy>
  <cp:lastPrinted>2024-07-27T09:21:32Z</cp:lastPrinted>
  <dcterms:created xsi:type="dcterms:W3CDTF">2015-06-05T18:17:20Z</dcterms:created>
  <dcterms:modified xsi:type="dcterms:W3CDTF">2024-07-27T09:53:41Z</dcterms:modified>
</cp:coreProperties>
</file>